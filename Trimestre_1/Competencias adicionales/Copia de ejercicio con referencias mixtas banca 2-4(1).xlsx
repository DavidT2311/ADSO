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jojha\OneDrive\Documentos\ADSO\Trimestre_1\Competencias adicionales\"/>
    </mc:Choice>
  </mc:AlternateContent>
  <xr:revisionPtr revIDLastSave="0" documentId="13_ncr:1_{ED16294D-D8A2-491A-B629-01D8B2996BFF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6" l="1"/>
  <c r="G27" i="6"/>
  <c r="H27" i="6"/>
  <c r="I27" i="6"/>
  <c r="J27" i="6"/>
  <c r="K27" i="6"/>
  <c r="E6" i="6"/>
  <c r="F6" i="6"/>
  <c r="G6" i="6"/>
  <c r="H6" i="6"/>
  <c r="I6" i="6"/>
  <c r="J6" i="6"/>
  <c r="K6" i="6"/>
  <c r="E7" i="6"/>
  <c r="F7" i="6"/>
  <c r="G7" i="6"/>
  <c r="H7" i="6"/>
  <c r="I7" i="6"/>
  <c r="J7" i="6"/>
  <c r="K7" i="6"/>
  <c r="E8" i="6"/>
  <c r="F8" i="6"/>
  <c r="G8" i="6"/>
  <c r="H8" i="6"/>
  <c r="I8" i="6"/>
  <c r="J8" i="6"/>
  <c r="K8" i="6"/>
  <c r="E9" i="6"/>
  <c r="F9" i="6"/>
  <c r="G9" i="6"/>
  <c r="H9" i="6"/>
  <c r="I9" i="6"/>
  <c r="J9" i="6"/>
  <c r="K9" i="6"/>
  <c r="E10" i="6"/>
  <c r="F10" i="6"/>
  <c r="G10" i="6"/>
  <c r="H10" i="6"/>
  <c r="I10" i="6"/>
  <c r="J10" i="6"/>
  <c r="K10" i="6"/>
  <c r="E11" i="6"/>
  <c r="F11" i="6"/>
  <c r="G11" i="6"/>
  <c r="H11" i="6"/>
  <c r="I11" i="6"/>
  <c r="J11" i="6"/>
  <c r="K11" i="6"/>
  <c r="E12" i="6"/>
  <c r="F12" i="6"/>
  <c r="G12" i="6"/>
  <c r="H12" i="6"/>
  <c r="I12" i="6"/>
  <c r="J12" i="6"/>
  <c r="K12" i="6"/>
  <c r="E13" i="6"/>
  <c r="F13" i="6"/>
  <c r="G13" i="6"/>
  <c r="H13" i="6"/>
  <c r="I13" i="6"/>
  <c r="J13" i="6"/>
  <c r="K13" i="6"/>
  <c r="E14" i="6"/>
  <c r="F14" i="6"/>
  <c r="G14" i="6"/>
  <c r="H14" i="6"/>
  <c r="I14" i="6"/>
  <c r="J14" i="6"/>
  <c r="K14" i="6"/>
  <c r="E15" i="6"/>
  <c r="F15" i="6"/>
  <c r="G15" i="6"/>
  <c r="H15" i="6"/>
  <c r="I15" i="6"/>
  <c r="J15" i="6"/>
  <c r="K15" i="6"/>
  <c r="E16" i="6"/>
  <c r="F16" i="6"/>
  <c r="G16" i="6"/>
  <c r="H16" i="6"/>
  <c r="I16" i="6"/>
  <c r="J16" i="6"/>
  <c r="K16" i="6"/>
  <c r="E17" i="6"/>
  <c r="F17" i="6"/>
  <c r="G17" i="6"/>
  <c r="H17" i="6"/>
  <c r="I17" i="6"/>
  <c r="J17" i="6"/>
  <c r="K17" i="6"/>
  <c r="E18" i="6"/>
  <c r="F18" i="6"/>
  <c r="G18" i="6"/>
  <c r="H18" i="6"/>
  <c r="I18" i="6"/>
  <c r="J18" i="6"/>
  <c r="K18" i="6"/>
  <c r="E19" i="6"/>
  <c r="F19" i="6"/>
  <c r="G19" i="6"/>
  <c r="H19" i="6"/>
  <c r="I19" i="6"/>
  <c r="J19" i="6"/>
  <c r="K19" i="6"/>
  <c r="E20" i="6"/>
  <c r="F20" i="6"/>
  <c r="G20" i="6"/>
  <c r="H20" i="6"/>
  <c r="I20" i="6"/>
  <c r="J20" i="6"/>
  <c r="K20" i="6"/>
  <c r="E21" i="6"/>
  <c r="F21" i="6"/>
  <c r="G21" i="6"/>
  <c r="H21" i="6"/>
  <c r="I21" i="6"/>
  <c r="J21" i="6"/>
  <c r="K21" i="6"/>
  <c r="E22" i="6"/>
  <c r="F22" i="6"/>
  <c r="G22" i="6"/>
  <c r="H22" i="6"/>
  <c r="I22" i="6"/>
  <c r="J22" i="6"/>
  <c r="K22" i="6"/>
  <c r="E23" i="6"/>
  <c r="F23" i="6"/>
  <c r="G23" i="6"/>
  <c r="H23" i="6"/>
  <c r="I23" i="6"/>
  <c r="J23" i="6"/>
  <c r="K23" i="6"/>
  <c r="E24" i="6"/>
  <c r="F24" i="6"/>
  <c r="G24" i="6"/>
  <c r="H24" i="6"/>
  <c r="I24" i="6"/>
  <c r="J24" i="6"/>
  <c r="K24" i="6"/>
  <c r="E25" i="6"/>
  <c r="F25" i="6"/>
  <c r="G25" i="6"/>
  <c r="H25" i="6"/>
  <c r="I25" i="6"/>
  <c r="J25" i="6"/>
  <c r="K25" i="6"/>
  <c r="E26" i="6"/>
  <c r="F26" i="6"/>
  <c r="G26" i="6"/>
  <c r="H26" i="6"/>
  <c r="I26" i="6"/>
  <c r="J26" i="6"/>
  <c r="K26" i="6"/>
  <c r="F5" i="6"/>
  <c r="G5" i="6"/>
  <c r="H5" i="6"/>
  <c r="I5" i="6"/>
  <c r="J5" i="6"/>
  <c r="K5" i="6"/>
  <c r="E27" i="6"/>
  <c r="E5" i="6"/>
  <c r="D27" i="6"/>
  <c r="C27" i="6"/>
  <c r="L8" i="8"/>
  <c r="L9" i="8"/>
  <c r="L10" i="8"/>
  <c r="L11" i="8"/>
  <c r="L12" i="8"/>
  <c r="L13" i="8"/>
  <c r="L7" i="8"/>
  <c r="K8" i="8"/>
  <c r="K9" i="8"/>
  <c r="K10" i="8"/>
  <c r="K11" i="8"/>
  <c r="K12" i="8"/>
  <c r="K13" i="8"/>
  <c r="K7" i="8"/>
  <c r="H8" i="8"/>
  <c r="H9" i="8"/>
  <c r="H10" i="8"/>
  <c r="H11" i="8"/>
  <c r="H12" i="8"/>
  <c r="H13" i="8"/>
  <c r="H7" i="8"/>
  <c r="E8" i="8"/>
  <c r="E9" i="8"/>
  <c r="E10" i="8"/>
  <c r="E11" i="8"/>
  <c r="E12" i="8"/>
  <c r="E13" i="8"/>
  <c r="E7" i="8"/>
  <c r="C14" i="7"/>
  <c r="D14" i="7"/>
  <c r="E14" i="7"/>
  <c r="F14" i="7"/>
  <c r="G14" i="7"/>
  <c r="H14" i="7"/>
  <c r="B14" i="7"/>
  <c r="C20" i="7"/>
  <c r="D20" i="7"/>
  <c r="E20" i="7"/>
  <c r="F20" i="7"/>
  <c r="G20" i="7"/>
  <c r="H20" i="7"/>
  <c r="B20" i="7"/>
  <c r="C19" i="7"/>
  <c r="D19" i="7"/>
  <c r="E19" i="7"/>
  <c r="F19" i="7"/>
  <c r="G19" i="7"/>
  <c r="H19" i="7"/>
  <c r="B19" i="7"/>
  <c r="C18" i="7"/>
  <c r="D18" i="7"/>
  <c r="E18" i="7"/>
  <c r="F18" i="7"/>
  <c r="G18" i="7"/>
  <c r="H18" i="7"/>
  <c r="B18" i="7"/>
  <c r="E13" i="7"/>
  <c r="D13" i="7"/>
  <c r="C13" i="7"/>
  <c r="F13" i="7"/>
  <c r="G13" i="7"/>
  <c r="H13" i="7"/>
  <c r="B13" i="7"/>
  <c r="E12" i="7"/>
  <c r="D12" i="7"/>
  <c r="C12" i="7"/>
  <c r="F12" i="7"/>
  <c r="G12" i="7"/>
  <c r="H12" i="7"/>
  <c r="B12" i="7"/>
  <c r="E6" i="5"/>
  <c r="F6" i="5"/>
  <c r="G6" i="5"/>
  <c r="H6" i="5"/>
  <c r="I6" i="5"/>
  <c r="J6" i="5"/>
  <c r="E7" i="5"/>
  <c r="F7" i="5"/>
  <c r="G7" i="5"/>
  <c r="H7" i="5"/>
  <c r="I7" i="5"/>
  <c r="J7" i="5"/>
  <c r="E8" i="5"/>
  <c r="F8" i="5"/>
  <c r="G8" i="5"/>
  <c r="H8" i="5"/>
  <c r="I8" i="5"/>
  <c r="J8" i="5"/>
  <c r="E9" i="5"/>
  <c r="F9" i="5"/>
  <c r="G9" i="5"/>
  <c r="H9" i="5"/>
  <c r="I9" i="5"/>
  <c r="J9" i="5"/>
  <c r="E10" i="5"/>
  <c r="F10" i="5"/>
  <c r="G10" i="5"/>
  <c r="H10" i="5"/>
  <c r="I10" i="5"/>
  <c r="J10" i="5"/>
  <c r="E11" i="5"/>
  <c r="F11" i="5"/>
  <c r="G11" i="5"/>
  <c r="H11" i="5"/>
  <c r="I11" i="5"/>
  <c r="J11" i="5"/>
  <c r="E12" i="5"/>
  <c r="F12" i="5"/>
  <c r="G12" i="5"/>
  <c r="H12" i="5"/>
  <c r="I12" i="5"/>
  <c r="J12" i="5"/>
  <c r="E13" i="5"/>
  <c r="F13" i="5"/>
  <c r="G13" i="5"/>
  <c r="H13" i="5"/>
  <c r="I13" i="5"/>
  <c r="J13" i="5"/>
  <c r="E14" i="5"/>
  <c r="F14" i="5"/>
  <c r="G14" i="5"/>
  <c r="H14" i="5"/>
  <c r="I14" i="5"/>
  <c r="J14" i="5"/>
  <c r="E15" i="5"/>
  <c r="F15" i="5"/>
  <c r="G15" i="5"/>
  <c r="H15" i="5"/>
  <c r="I15" i="5"/>
  <c r="J15" i="5"/>
  <c r="F5" i="5"/>
  <c r="G5" i="5"/>
  <c r="H5" i="5"/>
  <c r="I5" i="5"/>
  <c r="J5" i="5"/>
  <c r="E5" i="5"/>
  <c r="I8" i="4"/>
  <c r="I9" i="4"/>
  <c r="I10" i="4"/>
  <c r="I11" i="4"/>
  <c r="I12" i="4"/>
  <c r="I13" i="4"/>
  <c r="I14" i="4"/>
  <c r="I15" i="4"/>
  <c r="I16" i="4"/>
  <c r="I17" i="4"/>
  <c r="I7" i="4"/>
  <c r="H8" i="4"/>
  <c r="H9" i="4"/>
  <c r="H10" i="4"/>
  <c r="H11" i="4"/>
  <c r="H12" i="4"/>
  <c r="H13" i="4"/>
  <c r="H14" i="4"/>
  <c r="H15" i="4"/>
  <c r="H16" i="4"/>
  <c r="H17" i="4"/>
  <c r="H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E7" i="4"/>
  <c r="F7" i="4"/>
  <c r="G7" i="4"/>
  <c r="D7" i="4"/>
  <c r="D14" i="3"/>
  <c r="E13" i="3"/>
  <c r="D12" i="3"/>
  <c r="E6" i="3"/>
  <c r="E7" i="3"/>
  <c r="E8" i="3"/>
  <c r="E9" i="3"/>
  <c r="E10" i="3"/>
  <c r="E11" i="3"/>
  <c r="D8" i="3"/>
  <c r="D7" i="3"/>
  <c r="D6" i="3"/>
  <c r="D9" i="3"/>
  <c r="D10" i="3"/>
  <c r="D11" i="3"/>
  <c r="F4" i="2"/>
  <c r="E4" i="2"/>
  <c r="D9" i="1"/>
  <c r="E9" i="1"/>
  <c r="F9" i="1"/>
  <c r="G9" i="1"/>
  <c r="H9" i="1"/>
  <c r="I9" i="1"/>
  <c r="H4" i="1"/>
  <c r="H5" i="1"/>
  <c r="H6" i="1"/>
  <c r="H7" i="1"/>
  <c r="H8" i="1"/>
  <c r="H3" i="1"/>
  <c r="G4" i="1"/>
  <c r="G5" i="1"/>
  <c r="G6" i="1"/>
  <c r="G7" i="1"/>
  <c r="G8" i="1"/>
  <c r="G3" i="1"/>
  <c r="F4" i="1"/>
  <c r="F5" i="1"/>
  <c r="F6" i="1"/>
  <c r="F7" i="1"/>
  <c r="F8" i="1"/>
  <c r="F3" i="1"/>
  <c r="J3" i="8"/>
  <c r="G3" i="8"/>
  <c r="D3" i="8"/>
  <c r="I7" i="1" l="1"/>
  <c r="I3" i="1"/>
  <c r="I8" i="1"/>
  <c r="I6" i="1"/>
  <c r="I5" i="1"/>
  <c r="I4" i="1"/>
  <c r="C17" i="7"/>
  <c r="D17" i="7" s="1"/>
  <c r="C11" i="7"/>
  <c r="D11" i="7" s="1"/>
  <c r="E11" i="7" l="1"/>
  <c r="E17" i="7"/>
  <c r="F17" i="7" l="1"/>
  <c r="F11" i="7"/>
  <c r="G11" i="7" l="1"/>
  <c r="H11" i="7"/>
  <c r="G17" i="7"/>
  <c r="H17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 usuario de Microsoft Office satisfecho</author>
  </authors>
  <commentList>
    <comment ref="H6" authorId="0" shapeId="0" xr:uid="{00000000-0006-0000-0300-000001000000}">
      <text>
        <r>
          <rPr>
            <sz val="8"/>
            <color indexed="81"/>
            <rFont val="Tahoma"/>
            <family val="2"/>
          </rPr>
          <t>Suma de columnas C a F</t>
        </r>
      </text>
    </comment>
    <comment ref="I6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
Sueldo (columna B) - total de descuentos (G)</t>
        </r>
      </text>
    </comment>
  </commentList>
</comments>
</file>

<file path=xl/sharedStrings.xml><?xml version="1.0" encoding="utf-8"?>
<sst xmlns="http://schemas.openxmlformats.org/spreadsheetml/2006/main" count="167" uniqueCount="150">
  <si>
    <t>codigo</t>
  </si>
  <si>
    <t>cantidad</t>
  </si>
  <si>
    <t>descripcion</t>
  </si>
  <si>
    <t>bruto</t>
  </si>
  <si>
    <t>Descuento</t>
  </si>
  <si>
    <t>Neto</t>
  </si>
  <si>
    <t>Iva</t>
  </si>
  <si>
    <t>total</t>
  </si>
  <si>
    <t>c1250</t>
  </si>
  <si>
    <t>basculas</t>
  </si>
  <si>
    <t>c1540</t>
  </si>
  <si>
    <t>termometros</t>
  </si>
  <si>
    <t>reglas</t>
  </si>
  <si>
    <t>compases</t>
  </si>
  <si>
    <t>collares</t>
  </si>
  <si>
    <t>cuadernos</t>
  </si>
  <si>
    <t>Articulos</t>
  </si>
  <si>
    <t>Precio</t>
  </si>
  <si>
    <t>dcto base</t>
  </si>
  <si>
    <t xml:space="preserve">Utilizar referencias Absolutas o Relativas según la formula que deba utilizar.
Calcular con los datos que tenemos en la hoja las siguientes columnas:
Bruto
Descuento
Neto
IVA
Total
Calcular los totales de las siguientes columnas:
Unidades
Bruto
Neto
IVA
Total
</t>
  </si>
  <si>
    <t>vendedor</t>
  </si>
  <si>
    <t>auto</t>
  </si>
  <si>
    <t>ganancia vendedor</t>
  </si>
  <si>
    <t>Precio Compra</t>
  </si>
  <si>
    <t>Datos Basico</t>
  </si>
  <si>
    <t>precio venta</t>
  </si>
  <si>
    <t>Utilidad</t>
  </si>
  <si>
    <t>Registrar vendedor, marca del vehiculo, precio de compre y precio de venta. Calcular la ganancia del vendedor y la utilidad final obtenida. Al final dar el total de las ventas y el total de la comision a vendedores.</t>
  </si>
  <si>
    <t>Recargo</t>
  </si>
  <si>
    <t>Nombre del producto</t>
  </si>
  <si>
    <t xml:space="preserve">Cantidad </t>
  </si>
  <si>
    <t>Unitario</t>
  </si>
  <si>
    <t>Contado</t>
  </si>
  <si>
    <t>Tarjeta</t>
  </si>
  <si>
    <t>Té Dharamsala</t>
  </si>
  <si>
    <t>Cerveza tibetana Barley</t>
  </si>
  <si>
    <t>Sirope de regaliz</t>
  </si>
  <si>
    <t>Especias Cajun del chef Anton</t>
  </si>
  <si>
    <t>Mezcla Gumbo del chef Anton</t>
  </si>
  <si>
    <t>Mermelada de grosellas de la abuela</t>
  </si>
  <si>
    <t>Total a pagar contado</t>
  </si>
  <si>
    <t>Total a pagar con tarjeta</t>
  </si>
  <si>
    <t>Diferencia</t>
  </si>
  <si>
    <t>Ultimos ejercicios de referencias relativas y absoutas</t>
  </si>
  <si>
    <t>Jubilación</t>
  </si>
  <si>
    <t>O.Social</t>
  </si>
  <si>
    <t>INSSJP</t>
  </si>
  <si>
    <t>Sindicato</t>
  </si>
  <si>
    <t xml:space="preserve">Total </t>
  </si>
  <si>
    <t>Neto a</t>
  </si>
  <si>
    <t>Empleados</t>
  </si>
  <si>
    <t>Sueldo</t>
  </si>
  <si>
    <t>Descuentos</t>
  </si>
  <si>
    <t>Cobrar</t>
  </si>
  <si>
    <t>Cardone</t>
  </si>
  <si>
    <t>Muriel</t>
  </si>
  <si>
    <t>Mansilla</t>
  </si>
  <si>
    <t>Benítez</t>
  </si>
  <si>
    <t>Mendieta</t>
  </si>
  <si>
    <t>Arriola</t>
  </si>
  <si>
    <t>Bascur</t>
  </si>
  <si>
    <t>Aman</t>
  </si>
  <si>
    <t>Zoilo</t>
  </si>
  <si>
    <t>Beltrán</t>
  </si>
  <si>
    <t>González</t>
  </si>
  <si>
    <r>
      <t xml:space="preserve"> Completar mediante </t>
    </r>
    <r>
      <rPr>
        <b/>
        <sz val="9"/>
        <rFont val="Arial"/>
        <family val="2"/>
      </rPr>
      <t>una sola fórmula</t>
    </r>
    <r>
      <rPr>
        <sz val="9"/>
        <rFont val="Arial"/>
        <family val="2"/>
      </rPr>
      <t xml:space="preserve"> la celda C5</t>
    </r>
  </si>
  <si>
    <t xml:space="preserve"> Tener en cuenta que la fórmula escrita en C5 deber servir para todas las celdas a completar</t>
  </si>
  <si>
    <t xml:space="preserve"> Realizar los cálculos con 2 decimales y darle formato monetario a las celdas</t>
  </si>
  <si>
    <t>Tren No</t>
  </si>
  <si>
    <t>Pasajeros</t>
  </si>
  <si>
    <t>Precio Pasaje</t>
  </si>
  <si>
    <t>Calcular cuanto recauda cada tren dependiendo de la cantidad límite de pasajeros y el precio probable del pasaje</t>
  </si>
  <si>
    <t>Recordar que este planteo se debe resolver con una sola fórmula y luego aplicar llenado automático</t>
  </si>
  <si>
    <t>Esquema de  comisiones</t>
  </si>
  <si>
    <t>Nivel Salarial</t>
  </si>
  <si>
    <t>AFJP</t>
  </si>
  <si>
    <t>Fija</t>
  </si>
  <si>
    <t>Variable</t>
  </si>
  <si>
    <t>Activa-Anticipar</t>
  </si>
  <si>
    <t>Afianzar</t>
  </si>
  <si>
    <t>Arauca-Bit</t>
  </si>
  <si>
    <t>Claridad</t>
  </si>
  <si>
    <t>Consolidar</t>
  </si>
  <si>
    <t>Ethika</t>
  </si>
  <si>
    <t>Fecunda</t>
  </si>
  <si>
    <t>Futura</t>
  </si>
  <si>
    <t>Generar</t>
  </si>
  <si>
    <t>Jacarandá</t>
  </si>
  <si>
    <t>Más Vida</t>
  </si>
  <si>
    <t>Máxima</t>
  </si>
  <si>
    <t>Nación</t>
  </si>
  <si>
    <t>Orígenes</t>
  </si>
  <si>
    <t>Patrimonio</t>
  </si>
  <si>
    <t>Previnter</t>
  </si>
  <si>
    <t>Previsol</t>
  </si>
  <si>
    <t>Profesión</t>
  </si>
  <si>
    <t>Prorenta</t>
  </si>
  <si>
    <t>San José</t>
  </si>
  <si>
    <t>Siembra</t>
  </si>
  <si>
    <t>Unidos</t>
  </si>
  <si>
    <t>Promedio</t>
  </si>
  <si>
    <t>La fila de nivel salarial completarla con autollenado</t>
  </si>
  <si>
    <t>Respetar los formatos de celdas</t>
  </si>
  <si>
    <t>Calcular la comisión de cada AFJP en cada nivel salarial</t>
  </si>
  <si>
    <t>ELECTRODOMESTICOS EL CHISPAZO S.A.</t>
  </si>
  <si>
    <t>Tabla de Variables Ventas</t>
  </si>
  <si>
    <t>Tabla Variables Compra</t>
  </si>
  <si>
    <t>% Inc Ventas</t>
  </si>
  <si>
    <t>% Inc Compras</t>
  </si>
  <si>
    <t>Precio Ventas</t>
  </si>
  <si>
    <t>Precio Compras</t>
  </si>
  <si>
    <t>% Des Ventas</t>
  </si>
  <si>
    <t>% Des Compras</t>
  </si>
  <si>
    <t>Enero</t>
  </si>
  <si>
    <t>Febrero</t>
  </si>
  <si>
    <t>Marzo</t>
  </si>
  <si>
    <t>Abril</t>
  </si>
  <si>
    <t>Mayo</t>
  </si>
  <si>
    <t>Junio</t>
  </si>
  <si>
    <t>Total</t>
  </si>
  <si>
    <t>Ventas</t>
  </si>
  <si>
    <t>Volumen Ventas</t>
  </si>
  <si>
    <t>Total Ventas</t>
  </si>
  <si>
    <t>Neto Ventas</t>
  </si>
  <si>
    <t>Compras</t>
  </si>
  <si>
    <t>Volumen compras</t>
  </si>
  <si>
    <t>Total Compras</t>
  </si>
  <si>
    <t>Neto Compras</t>
  </si>
  <si>
    <t>Resúmenes</t>
  </si>
  <si>
    <t>Ganancias</t>
  </si>
  <si>
    <t>Pérdidas</t>
  </si>
  <si>
    <t>Beneficios</t>
  </si>
  <si>
    <t>TECONOLOGIAS DE LA INFORMACION - CURSO 2003-2004</t>
  </si>
  <si>
    <t>Porcentajes asignados</t>
  </si>
  <si>
    <t>TEMA 1</t>
  </si>
  <si>
    <t>TEMA 2</t>
  </si>
  <si>
    <t>TEMA 3</t>
  </si>
  <si>
    <t>ALUMNO</t>
  </si>
  <si>
    <t>TE</t>
  </si>
  <si>
    <t>PR</t>
  </si>
  <si>
    <t>FINAL</t>
  </si>
  <si>
    <t>Carmelo Cotón</t>
  </si>
  <si>
    <t>Aitor Nillo</t>
  </si>
  <si>
    <t>Josechu Letón</t>
  </si>
  <si>
    <t>Pedro Saputo</t>
  </si>
  <si>
    <t>Oscar Blasco</t>
  </si>
  <si>
    <t>Luis Buñuel</t>
  </si>
  <si>
    <t>Joaquín Costa</t>
  </si>
  <si>
    <t>Alfredo</t>
  </si>
  <si>
    <t>Mazda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</si>
</sst>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_-;\-* #,##0_-;_-* &quot;-&quot;??_-;_-@_-"/>
    <numFmt numFmtId="166" formatCode="&quot;$&quot;#,##0.00_);\(&quot;$&quot;#,##0.00\)"/>
    <numFmt numFmtId="167" formatCode="#,##0.00\ &quot;€&quot;"/>
    <numFmt numFmtId="169" formatCode="_-* #,##0.00\ _€_-;\-* #,##0.00\ _€_-;_-* &quot;-&quot;??\ _€_-;_-@_-"/>
    <numFmt numFmtId="172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Helv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color indexed="81"/>
      <name val="Tahoma"/>
      <family val="2"/>
    </font>
    <font>
      <u val="double"/>
      <sz val="14"/>
      <color indexed="48"/>
      <name val="Architect"/>
    </font>
    <font>
      <sz val="10"/>
      <color indexed="53"/>
      <name val="Arial"/>
      <family val="2"/>
    </font>
    <font>
      <b/>
      <sz val="8"/>
      <name val="Comic Sans MS"/>
      <family val="4"/>
    </font>
    <font>
      <sz val="8"/>
      <name val="Comic Sans MS"/>
      <family val="4"/>
    </font>
    <font>
      <sz val="18"/>
      <name val="Impact"/>
      <family val="2"/>
    </font>
    <font>
      <i/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ashDotDot">
        <color indexed="64"/>
      </right>
      <top style="double">
        <color indexed="64"/>
      </top>
      <bottom/>
      <diagonal/>
    </border>
    <border>
      <left style="dashDotDot">
        <color indexed="64"/>
      </left>
      <right style="dashDotDot">
        <color indexed="64"/>
      </right>
      <top style="double">
        <color indexed="64"/>
      </top>
      <bottom style="double">
        <color indexed="64"/>
      </bottom>
      <diagonal/>
    </border>
    <border>
      <left style="dashDotDot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12">
    <xf numFmtId="0" fontId="0" fillId="0" borderId="0" xfId="0"/>
    <xf numFmtId="9" fontId="0" fillId="0" borderId="0" xfId="0" applyNumberFormat="1"/>
    <xf numFmtId="165" fontId="0" fillId="0" borderId="0" xfId="1" applyNumberFormat="1" applyFont="1"/>
    <xf numFmtId="165" fontId="0" fillId="0" borderId="0" xfId="0" applyNumberFormat="1"/>
    <xf numFmtId="0" fontId="2" fillId="3" borderId="1" xfId="0" applyFont="1" applyFill="1" applyBorder="1"/>
    <xf numFmtId="9" fontId="2" fillId="0" borderId="1" xfId="0" applyNumberFormat="1" applyFont="1" applyBorder="1"/>
    <xf numFmtId="0" fontId="2" fillId="3" borderId="2" xfId="4" applyNumberFormat="1" applyFont="1" applyFill="1" applyBorder="1"/>
    <xf numFmtId="0" fontId="2" fillId="3" borderId="3" xfId="0" applyFont="1" applyFill="1" applyBorder="1"/>
    <xf numFmtId="0" fontId="4" fillId="0" borderId="4" xfId="4" applyNumberFormat="1" applyFont="1" applyBorder="1"/>
    <xf numFmtId="166" fontId="4" fillId="0" borderId="4" xfId="4" applyNumberFormat="1" applyFont="1" applyBorder="1"/>
    <xf numFmtId="164" fontId="5" fillId="0" borderId="5" xfId="2" applyFont="1" applyBorder="1"/>
    <xf numFmtId="0" fontId="4" fillId="0" borderId="8" xfId="4" applyNumberFormat="1" applyFont="1" applyBorder="1"/>
    <xf numFmtId="166" fontId="4" fillId="0" borderId="8" xfId="4" applyNumberFormat="1" applyFont="1" applyBorder="1"/>
    <xf numFmtId="164" fontId="5" fillId="0" borderId="10" xfId="2" applyFont="1" applyBorder="1"/>
    <xf numFmtId="0" fontId="0" fillId="3" borderId="0" xfId="0" applyFill="1"/>
    <xf numFmtId="0" fontId="0" fillId="0" borderId="0" xfId="0" applyFill="1"/>
    <xf numFmtId="164" fontId="6" fillId="3" borderId="11" xfId="2" applyFont="1" applyFill="1" applyBorder="1"/>
    <xf numFmtId="164" fontId="6" fillId="0" borderId="0" xfId="2" applyFont="1" applyFill="1" applyBorder="1"/>
    <xf numFmtId="0" fontId="8" fillId="0" borderId="0" xfId="0" applyFont="1" applyBorder="1"/>
    <xf numFmtId="0" fontId="8" fillId="0" borderId="15" xfId="0" applyFont="1" applyBorder="1"/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/>
    <xf numFmtId="0" fontId="8" fillId="0" borderId="19" xfId="0" applyFont="1" applyBorder="1" applyAlignment="1">
      <alignment horizontal="center"/>
    </xf>
    <xf numFmtId="9" fontId="8" fillId="0" borderId="19" xfId="0" applyNumberFormat="1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1" xfId="0" applyFont="1" applyBorder="1"/>
    <xf numFmtId="2" fontId="8" fillId="0" borderId="21" xfId="0" applyNumberFormat="1" applyFont="1" applyBorder="1"/>
    <xf numFmtId="0" fontId="8" fillId="0" borderId="1" xfId="0" applyFont="1" applyBorder="1"/>
    <xf numFmtId="2" fontId="8" fillId="0" borderId="1" xfId="0" applyNumberFormat="1" applyFont="1" applyBorder="1"/>
    <xf numFmtId="0" fontId="8" fillId="0" borderId="0" xfId="0" applyFont="1"/>
    <xf numFmtId="0" fontId="4" fillId="0" borderId="0" xfId="0" applyFont="1"/>
    <xf numFmtId="0" fontId="10" fillId="0" borderId="0" xfId="0" applyFont="1"/>
    <xf numFmtId="0" fontId="2" fillId="3" borderId="22" xfId="0" applyFont="1" applyFill="1" applyBorder="1"/>
    <xf numFmtId="0" fontId="0" fillId="3" borderId="23" xfId="0" applyFill="1" applyBorder="1"/>
    <xf numFmtId="164" fontId="1" fillId="3" borderId="23" xfId="2" applyFill="1" applyBorder="1"/>
    <xf numFmtId="164" fontId="1" fillId="3" borderId="24" xfId="2" applyFill="1" applyBorder="1"/>
    <xf numFmtId="0" fontId="0" fillId="0" borderId="25" xfId="0" applyBorder="1"/>
    <xf numFmtId="164" fontId="1" fillId="0" borderId="26" xfId="2" applyBorder="1"/>
    <xf numFmtId="10" fontId="1" fillId="0" borderId="21" xfId="3" applyNumberFormat="1" applyBorder="1"/>
    <xf numFmtId="164" fontId="11" fillId="0" borderId="21" xfId="2" applyFont="1" applyBorder="1"/>
    <xf numFmtId="0" fontId="0" fillId="0" borderId="27" xfId="0" applyBorder="1"/>
    <xf numFmtId="164" fontId="1" fillId="0" borderId="28" xfId="2" applyBorder="1"/>
    <xf numFmtId="10" fontId="4" fillId="0" borderId="1" xfId="3" applyNumberFormat="1" applyFont="1" applyBorder="1"/>
    <xf numFmtId="10" fontId="1" fillId="0" borderId="1" xfId="3" applyNumberFormat="1" applyBorder="1"/>
    <xf numFmtId="164" fontId="1" fillId="0" borderId="29" xfId="2" applyBorder="1"/>
    <xf numFmtId="10" fontId="1" fillId="0" borderId="3" xfId="3" applyNumberFormat="1" applyBorder="1"/>
    <xf numFmtId="0" fontId="2" fillId="0" borderId="30" xfId="0" applyFont="1" applyBorder="1" applyAlignment="1">
      <alignment horizontal="right"/>
    </xf>
    <xf numFmtId="10" fontId="1" fillId="0" borderId="32" xfId="3" applyNumberFormat="1" applyBorder="1"/>
    <xf numFmtId="164" fontId="1" fillId="0" borderId="32" xfId="2" applyBorder="1"/>
    <xf numFmtId="0" fontId="13" fillId="0" borderId="0" xfId="0" applyFont="1" applyAlignment="1"/>
    <xf numFmtId="0" fontId="13" fillId="0" borderId="0" xfId="0" applyFont="1"/>
    <xf numFmtId="0" fontId="12" fillId="0" borderId="0" xfId="0" applyFont="1" applyBorder="1" applyAlignment="1"/>
    <xf numFmtId="0" fontId="12" fillId="0" borderId="1" xfId="0" applyFont="1" applyBorder="1" applyAlignment="1">
      <alignment horizontal="center"/>
    </xf>
    <xf numFmtId="9" fontId="1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167" fontId="12" fillId="0" borderId="0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7" fontId="13" fillId="0" borderId="1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Border="1" applyAlignment="1">
      <alignment horizontal="center"/>
    </xf>
    <xf numFmtId="167" fontId="13" fillId="0" borderId="0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12" fillId="0" borderId="31" xfId="0" applyFont="1" applyBorder="1"/>
    <xf numFmtId="0" fontId="12" fillId="0" borderId="32" xfId="0" applyFont="1" applyBorder="1"/>
    <xf numFmtId="0" fontId="12" fillId="0" borderId="33" xfId="0" applyFont="1" applyBorder="1"/>
    <xf numFmtId="0" fontId="13" fillId="0" borderId="1" xfId="0" applyFont="1" applyBorder="1" applyAlignment="1">
      <alignment horizontal="right"/>
    </xf>
    <xf numFmtId="3" fontId="13" fillId="5" borderId="1" xfId="0" applyNumberFormat="1" applyFont="1" applyFill="1" applyBorder="1" applyAlignment="1">
      <alignment horizontal="center"/>
    </xf>
    <xf numFmtId="3" fontId="13" fillId="6" borderId="1" xfId="0" applyNumberFormat="1" applyFont="1" applyFill="1" applyBorder="1" applyAlignment="1">
      <alignment horizontal="center"/>
    </xf>
    <xf numFmtId="167" fontId="13" fillId="6" borderId="1" xfId="0" applyNumberFormat="1" applyFont="1" applyFill="1" applyBorder="1" applyAlignment="1">
      <alignment horizontal="center"/>
    </xf>
    <xf numFmtId="167" fontId="13" fillId="0" borderId="0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right"/>
    </xf>
    <xf numFmtId="167" fontId="13" fillId="6" borderId="1" xfId="0" applyNumberFormat="1" applyFont="1" applyFill="1" applyBorder="1"/>
    <xf numFmtId="0" fontId="15" fillId="0" borderId="0" xfId="0" applyFont="1"/>
    <xf numFmtId="9" fontId="4" fillId="0" borderId="0" xfId="0" applyNumberFormat="1" applyFont="1" applyAlignment="1">
      <alignment horizontal="center"/>
    </xf>
    <xf numFmtId="0" fontId="16" fillId="0" borderId="36" xfId="0" applyFont="1" applyBorder="1"/>
    <xf numFmtId="0" fontId="17" fillId="0" borderId="5" xfId="0" applyFont="1" applyBorder="1" applyAlignment="1">
      <alignment horizontal="center"/>
    </xf>
    <xf numFmtId="0" fontId="17" fillId="0" borderId="37" xfId="0" applyFont="1" applyBorder="1" applyAlignment="1">
      <alignment horizontal="center"/>
    </xf>
    <xf numFmtId="0" fontId="17" fillId="0" borderId="38" xfId="0" applyFont="1" applyBorder="1" applyAlignment="1">
      <alignment horizontal="center"/>
    </xf>
    <xf numFmtId="0" fontId="18" fillId="3" borderId="28" xfId="0" applyFont="1" applyFill="1" applyBorder="1" applyAlignment="1">
      <alignment horizontal="center" wrapText="1"/>
    </xf>
    <xf numFmtId="0" fontId="19" fillId="0" borderId="36" xfId="0" applyFont="1" applyBorder="1"/>
    <xf numFmtId="1" fontId="19" fillId="0" borderId="6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/>
    </xf>
    <xf numFmtId="1" fontId="19" fillId="0" borderId="39" xfId="0" applyNumberFormat="1" applyFont="1" applyBorder="1" applyAlignment="1">
      <alignment horizontal="center"/>
    </xf>
    <xf numFmtId="164" fontId="0" fillId="0" borderId="0" xfId="2" applyFont="1"/>
    <xf numFmtId="164" fontId="0" fillId="0" borderId="0" xfId="0" applyNumberFormat="1"/>
    <xf numFmtId="0" fontId="0" fillId="0" borderId="0" xfId="2" applyNumberFormat="1" applyFont="1"/>
    <xf numFmtId="169" fontId="0" fillId="0" borderId="0" xfId="0" applyNumberFormat="1"/>
    <xf numFmtId="164" fontId="0" fillId="0" borderId="21" xfId="2" applyFont="1" applyBorder="1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172" fontId="16" fillId="0" borderId="7" xfId="0" applyNumberFormat="1" applyFont="1" applyBorder="1" applyAlignment="1">
      <alignment horizontal="center"/>
    </xf>
    <xf numFmtId="172" fontId="18" fillId="0" borderId="28" xfId="0" applyNumberFormat="1" applyFont="1" applyBorder="1" applyAlignment="1">
      <alignment horizontal="center"/>
    </xf>
    <xf numFmtId="164" fontId="0" fillId="0" borderId="31" xfId="0" applyNumberFormat="1" applyBorder="1"/>
  </cellXfs>
  <cellStyles count="5">
    <cellStyle name="Millares" xfId="1" builtinId="3"/>
    <cellStyle name="Moneda" xfId="2" builtinId="4"/>
    <cellStyle name="Normal" xfId="0" builtinId="0"/>
    <cellStyle name="Normal_Prices" xfId="4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11</xdr:row>
      <xdr:rowOff>76200</xdr:rowOff>
    </xdr:from>
    <xdr:to>
      <xdr:col>9</xdr:col>
      <xdr:colOff>733425</xdr:colOff>
      <xdr:row>19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 bwMode="auto">
        <a:xfrm>
          <a:off x="5153025" y="2247900"/>
          <a:ext cx="2438400" cy="1571625"/>
        </a:xfrm>
        <a:prstGeom prst="borderCallout2">
          <a:avLst>
            <a:gd name="adj1" fmla="val 8569"/>
            <a:gd name="adj2" fmla="val -3125"/>
            <a:gd name="adj3" fmla="val 8569"/>
            <a:gd name="adj4" fmla="val -28125"/>
            <a:gd name="adj5" fmla="val -49287"/>
            <a:gd name="adj6" fmla="val -48440"/>
          </a:avLst>
        </a:prstGeom>
        <a:solidFill>
          <a:srgbClr val="FFFFFF"/>
        </a:solidFill>
        <a:ln w="12700">
          <a:solidFill>
            <a:srgbClr val="9933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el precio de contado como la cantidad por el precio unitario menos el porcentaje de descuento por el pago al contado.</a:t>
          </a:r>
        </a:p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Luego llenar automáticamente las demás filas.</a:t>
          </a:r>
        </a:p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Utilizar adecuadamente las referencias absolutas.</a:t>
          </a:r>
        </a:p>
      </xdr:txBody>
    </xdr:sp>
    <xdr:clientData/>
  </xdr:twoCellAnchor>
  <xdr:twoCellAnchor>
    <xdr:from>
      <xdr:col>7</xdr:col>
      <xdr:colOff>209550</xdr:colOff>
      <xdr:row>1</xdr:row>
      <xdr:rowOff>171450</xdr:rowOff>
    </xdr:from>
    <xdr:to>
      <xdr:col>10</xdr:col>
      <xdr:colOff>361950</xdr:colOff>
      <xdr:row>9</xdr:row>
      <xdr:rowOff>190500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/>
        </xdr:cNvSpPr>
      </xdr:nvSpPr>
      <xdr:spPr bwMode="auto">
        <a:xfrm>
          <a:off x="5543550" y="361950"/>
          <a:ext cx="2438400" cy="1600200"/>
        </a:xfrm>
        <a:prstGeom prst="borderCallout2">
          <a:avLst>
            <a:gd name="adj1" fmla="val 8569"/>
            <a:gd name="adj2" fmla="val -3125"/>
            <a:gd name="adj3" fmla="val 8569"/>
            <a:gd name="adj4" fmla="val -16014"/>
            <a:gd name="adj5" fmla="val 57856"/>
            <a:gd name="adj6" fmla="val -26171"/>
          </a:avLst>
        </a:prstGeom>
        <a:solidFill>
          <a:srgbClr val="FFFFFF"/>
        </a:solidFill>
        <a:ln w="12700">
          <a:solidFill>
            <a:srgbClr val="9933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el pago con tarjeta como la cantidad por el precio unitario más el porcentaje de recargo por el pago con tarjeta.</a:t>
          </a:r>
        </a:p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Luego llenar automáticamente las demás filas.</a:t>
          </a:r>
        </a:p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Utilizar adecuadamente las referencias absolutas.</a:t>
          </a:r>
        </a:p>
      </xdr:txBody>
    </xdr:sp>
    <xdr:clientData/>
  </xdr:twoCellAnchor>
  <xdr:twoCellAnchor>
    <xdr:from>
      <xdr:col>0</xdr:col>
      <xdr:colOff>1571625</xdr:colOff>
      <xdr:row>14</xdr:row>
      <xdr:rowOff>57150</xdr:rowOff>
    </xdr:from>
    <xdr:to>
      <xdr:col>2</xdr:col>
      <xdr:colOff>247650</xdr:colOff>
      <xdr:row>18</xdr:row>
      <xdr:rowOff>123825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 bwMode="auto">
        <a:xfrm>
          <a:off x="1571625" y="2381250"/>
          <a:ext cx="1466850" cy="714375"/>
        </a:xfrm>
        <a:prstGeom prst="borderCallout2">
          <a:avLst>
            <a:gd name="adj1" fmla="val 16000"/>
            <a:gd name="adj2" fmla="val 105194"/>
            <a:gd name="adj3" fmla="val 16000"/>
            <a:gd name="adj4" fmla="val 126625"/>
            <a:gd name="adj5" fmla="val -16000"/>
            <a:gd name="adj6" fmla="val 144157"/>
          </a:avLst>
        </a:prstGeom>
        <a:solidFill>
          <a:srgbClr val="FFFFFF"/>
        </a:solidFill>
        <a:ln w="9525">
          <a:solidFill>
            <a:srgbClr val="993300"/>
          </a:solidFill>
          <a:miter lim="800000"/>
          <a:headEnd type="triangle" w="med" len="med"/>
          <a:tailEnd type="oval" w="med" len="med"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Calcular la diferencia de dinero entre el total de pago al contado y el pago con tarjeta.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438150</xdr:colOff>
      <xdr:row>28</xdr:row>
      <xdr:rowOff>57150</xdr:rowOff>
    </xdr:from>
    <xdr:to>
      <xdr:col>11</xdr:col>
      <xdr:colOff>200025</xdr:colOff>
      <xdr:row>32</xdr:row>
      <xdr:rowOff>152400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/>
        </xdr:cNvSpPr>
      </xdr:nvSpPr>
      <xdr:spPr bwMode="auto">
        <a:xfrm>
          <a:off x="4248150" y="5486400"/>
          <a:ext cx="5114925" cy="857250"/>
        </a:xfrm>
        <a:prstGeom prst="borderCallout2">
          <a:avLst>
            <a:gd name="adj1" fmla="val 16000"/>
            <a:gd name="adj2" fmla="val -1685"/>
            <a:gd name="adj3" fmla="val 16000"/>
            <a:gd name="adj4" fmla="val -1894"/>
            <a:gd name="adj5" fmla="val -552000"/>
            <a:gd name="adj6" fmla="val -2106"/>
          </a:avLst>
        </a:prstGeom>
        <a:solidFill>
          <a:srgbClr val="FFFFFF"/>
        </a:solidFill>
        <a:ln w="9525">
          <a:solidFill>
            <a:srgbClr val="FF0000"/>
          </a:solidFill>
          <a:miter lim="800000"/>
          <a:headEnd type="triangle" w="med" len="med"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s-AR" sz="1000" b="0" i="0" strike="noStrike">
              <a:solidFill>
                <a:srgbClr val="000000"/>
              </a:solidFill>
              <a:latin typeface="Arial"/>
              <a:cs typeface="Arial"/>
            </a:rPr>
            <a:t>La comisión se calcula como la comisión fija más el porcentaje de la comisión variable del salario. Recordar que la fórmula es una sola, con las correspondientes referencias relativas, mixtas o absoluta; y luego autollenar en las demás celdas.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21"/>
  <sheetViews>
    <sheetView workbookViewId="0">
      <selection activeCell="H3" sqref="H3"/>
    </sheetView>
  </sheetViews>
  <sheetFormatPr baseColWidth="10" defaultRowHeight="15"/>
  <cols>
    <col min="5" max="5" width="14.85546875" bestFit="1" customWidth="1"/>
    <col min="6" max="6" width="12.5703125" bestFit="1" customWidth="1"/>
    <col min="7" max="7" width="14.140625" bestFit="1" customWidth="1"/>
    <col min="8" max="8" width="12.5703125" bestFit="1" customWidth="1"/>
    <col min="9" max="9" width="14.140625" bestFit="1" customWidth="1"/>
  </cols>
  <sheetData>
    <row r="2" spans="2:15">
      <c r="B2" t="s">
        <v>0</v>
      </c>
      <c r="C2" t="s">
        <v>2</v>
      </c>
      <c r="D2" t="s">
        <v>1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92" t="s">
        <v>19</v>
      </c>
      <c r="K2" s="92"/>
      <c r="L2" s="92"/>
      <c r="M2" s="92"/>
      <c r="N2" s="92"/>
      <c r="O2" s="92"/>
    </row>
    <row r="3" spans="2:15">
      <c r="B3" t="s">
        <v>8</v>
      </c>
      <c r="C3" t="s">
        <v>9</v>
      </c>
      <c r="D3">
        <v>2</v>
      </c>
      <c r="E3" s="87">
        <v>1500</v>
      </c>
      <c r="F3" s="88">
        <f>(E3*2%)</f>
        <v>30</v>
      </c>
      <c r="G3" s="88">
        <f>(E3*D3)-F3</f>
        <v>2970</v>
      </c>
      <c r="H3" s="88">
        <f>G3*16%</f>
        <v>475.2</v>
      </c>
      <c r="I3" s="88">
        <f>G3+H3</f>
        <v>3445.2</v>
      </c>
      <c r="J3" s="92"/>
      <c r="K3" s="92"/>
      <c r="L3" s="92"/>
      <c r="M3" s="92"/>
      <c r="N3" s="92"/>
      <c r="O3" s="92"/>
    </row>
    <row r="4" spans="2:15">
      <c r="B4" t="s">
        <v>10</v>
      </c>
      <c r="C4" t="s">
        <v>11</v>
      </c>
      <c r="D4">
        <v>4</v>
      </c>
      <c r="E4" s="87">
        <v>3000</v>
      </c>
      <c r="F4" s="88">
        <f t="shared" ref="F4:F8" si="0">(E4*2%)</f>
        <v>60</v>
      </c>
      <c r="G4" s="88">
        <f t="shared" ref="G4:G8" si="1">(E4*D4)-F4</f>
        <v>11940</v>
      </c>
      <c r="H4" s="88">
        <f t="shared" ref="H4:H8" si="2">G4*16%</f>
        <v>1910.4</v>
      </c>
      <c r="I4" s="88">
        <f t="shared" ref="I4:I8" si="3">G4+H4</f>
        <v>13850.4</v>
      </c>
      <c r="J4" s="92"/>
      <c r="K4" s="92"/>
      <c r="L4" s="92"/>
      <c r="M4" s="92"/>
      <c r="N4" s="92"/>
      <c r="O4" s="92"/>
    </row>
    <row r="5" spans="2:15">
      <c r="C5" t="s">
        <v>12</v>
      </c>
      <c r="D5">
        <v>1</v>
      </c>
      <c r="E5" s="87">
        <v>5000</v>
      </c>
      <c r="F5" s="88">
        <f t="shared" si="0"/>
        <v>100</v>
      </c>
      <c r="G5" s="88">
        <f t="shared" si="1"/>
        <v>4900</v>
      </c>
      <c r="H5" s="88">
        <f t="shared" si="2"/>
        <v>784</v>
      </c>
      <c r="I5" s="88">
        <f t="shared" si="3"/>
        <v>5684</v>
      </c>
      <c r="J5" s="92"/>
      <c r="K5" s="92"/>
      <c r="L5" s="92"/>
      <c r="M5" s="92"/>
      <c r="N5" s="92"/>
      <c r="O5" s="92"/>
    </row>
    <row r="6" spans="2:15">
      <c r="C6" t="s">
        <v>13</v>
      </c>
      <c r="D6">
        <v>8</v>
      </c>
      <c r="E6" s="87">
        <v>8000</v>
      </c>
      <c r="F6" s="88">
        <f t="shared" si="0"/>
        <v>160</v>
      </c>
      <c r="G6" s="88">
        <f t="shared" si="1"/>
        <v>63840</v>
      </c>
      <c r="H6" s="88">
        <f t="shared" si="2"/>
        <v>10214.4</v>
      </c>
      <c r="I6" s="88">
        <f t="shared" si="3"/>
        <v>74054.399999999994</v>
      </c>
      <c r="J6" s="92"/>
      <c r="K6" s="92"/>
      <c r="L6" s="92"/>
      <c r="M6" s="92"/>
      <c r="N6" s="92"/>
      <c r="O6" s="92"/>
    </row>
    <row r="7" spans="2:15">
      <c r="C7" t="s">
        <v>14</v>
      </c>
      <c r="D7">
        <v>10</v>
      </c>
      <c r="E7" s="87">
        <v>4500</v>
      </c>
      <c r="F7" s="88">
        <f t="shared" si="0"/>
        <v>90</v>
      </c>
      <c r="G7" s="88">
        <f t="shared" si="1"/>
        <v>44910</v>
      </c>
      <c r="H7" s="88">
        <f t="shared" si="2"/>
        <v>7185.6</v>
      </c>
      <c r="I7" s="88">
        <f t="shared" si="3"/>
        <v>52095.6</v>
      </c>
      <c r="J7" s="92"/>
      <c r="K7" s="92"/>
      <c r="L7" s="92"/>
      <c r="M7" s="92"/>
      <c r="N7" s="92"/>
      <c r="O7" s="92"/>
    </row>
    <row r="8" spans="2:15">
      <c r="C8" t="s">
        <v>15</v>
      </c>
      <c r="D8">
        <v>16</v>
      </c>
      <c r="E8" s="87">
        <v>3200</v>
      </c>
      <c r="F8" s="88">
        <f t="shared" si="0"/>
        <v>64</v>
      </c>
      <c r="G8" s="88">
        <f t="shared" si="1"/>
        <v>51136</v>
      </c>
      <c r="H8" s="88">
        <f t="shared" si="2"/>
        <v>8181.76</v>
      </c>
      <c r="I8" s="88">
        <f t="shared" si="3"/>
        <v>59317.760000000002</v>
      </c>
      <c r="J8" s="92"/>
      <c r="K8" s="92"/>
      <c r="L8" s="92"/>
      <c r="M8" s="92"/>
      <c r="N8" s="92"/>
      <c r="O8" s="92"/>
    </row>
    <row r="9" spans="2:15">
      <c r="D9" s="89">
        <f>SUM(D3:D8)</f>
        <v>41</v>
      </c>
      <c r="E9" s="88">
        <f>SUM(E3:E8)</f>
        <v>25200</v>
      </c>
      <c r="F9" s="88">
        <f t="shared" ref="F9:I9" si="4">SUM(F3:F8)</f>
        <v>504</v>
      </c>
      <c r="G9" s="88">
        <f t="shared" si="4"/>
        <v>179696</v>
      </c>
      <c r="H9" s="88">
        <f t="shared" si="4"/>
        <v>28751.360000000001</v>
      </c>
      <c r="I9" s="88">
        <f t="shared" si="4"/>
        <v>208447.36000000002</v>
      </c>
      <c r="J9" s="92"/>
      <c r="K9" s="92"/>
      <c r="L9" s="92"/>
      <c r="M9" s="92"/>
      <c r="N9" s="92"/>
      <c r="O9" s="92"/>
    </row>
    <row r="10" spans="2:15">
      <c r="J10" s="92"/>
      <c r="K10" s="92"/>
      <c r="L10" s="92"/>
      <c r="M10" s="92"/>
      <c r="N10" s="92"/>
      <c r="O10" s="92"/>
    </row>
    <row r="11" spans="2:15">
      <c r="J11" s="92"/>
      <c r="K11" s="92"/>
      <c r="L11" s="92"/>
      <c r="M11" s="92"/>
      <c r="N11" s="92"/>
      <c r="O11" s="92"/>
    </row>
    <row r="12" spans="2:15">
      <c r="J12" s="92"/>
      <c r="K12" s="92"/>
      <c r="L12" s="92"/>
      <c r="M12" s="92"/>
      <c r="N12" s="92"/>
      <c r="O12" s="92"/>
    </row>
    <row r="13" spans="2:15">
      <c r="J13" s="92"/>
      <c r="K13" s="92"/>
      <c r="L13" s="92"/>
      <c r="M13" s="92"/>
      <c r="N13" s="92"/>
      <c r="O13" s="92"/>
    </row>
    <row r="14" spans="2:15">
      <c r="J14" s="92"/>
      <c r="K14" s="92"/>
      <c r="L14" s="92"/>
      <c r="M14" s="92"/>
      <c r="N14" s="92"/>
      <c r="O14" s="92"/>
    </row>
    <row r="15" spans="2:15">
      <c r="B15" t="s">
        <v>16</v>
      </c>
      <c r="C15" t="s">
        <v>17</v>
      </c>
      <c r="J15" s="92"/>
      <c r="K15" s="92"/>
      <c r="L15" s="92"/>
      <c r="M15" s="92"/>
      <c r="N15" s="92"/>
      <c r="O15" s="92"/>
    </row>
    <row r="16" spans="2:15">
      <c r="B16" t="s">
        <v>9</v>
      </c>
      <c r="C16">
        <v>1500</v>
      </c>
      <c r="E16" t="s">
        <v>18</v>
      </c>
      <c r="F16" s="1">
        <v>0.02</v>
      </c>
      <c r="J16" s="92"/>
      <c r="K16" s="92"/>
      <c r="L16" s="92"/>
      <c r="M16" s="92"/>
      <c r="N16" s="92"/>
      <c r="O16" s="92"/>
    </row>
    <row r="17" spans="2:15">
      <c r="B17" t="s">
        <v>11</v>
      </c>
      <c r="C17">
        <v>3000</v>
      </c>
      <c r="E17" t="s">
        <v>6</v>
      </c>
      <c r="F17" s="1">
        <v>0.16</v>
      </c>
      <c r="J17" s="92"/>
      <c r="K17" s="92"/>
      <c r="L17" s="92"/>
      <c r="M17" s="92"/>
      <c r="N17" s="92"/>
      <c r="O17" s="92"/>
    </row>
    <row r="18" spans="2:15">
      <c r="B18" t="s">
        <v>12</v>
      </c>
      <c r="C18">
        <v>5000</v>
      </c>
      <c r="J18" s="92"/>
      <c r="K18" s="92"/>
      <c r="L18" s="92"/>
      <c r="M18" s="92"/>
      <c r="N18" s="92"/>
      <c r="O18" s="92"/>
    </row>
    <row r="19" spans="2:15">
      <c r="B19" t="s">
        <v>13</v>
      </c>
      <c r="C19">
        <v>8000</v>
      </c>
      <c r="J19" s="92"/>
      <c r="K19" s="92"/>
      <c r="L19" s="92"/>
      <c r="M19" s="92"/>
      <c r="N19" s="92"/>
      <c r="O19" s="92"/>
    </row>
    <row r="20" spans="2:15">
      <c r="B20" t="s">
        <v>14</v>
      </c>
      <c r="C20">
        <v>4500</v>
      </c>
      <c r="J20" s="92"/>
      <c r="K20" s="92"/>
      <c r="L20" s="92"/>
      <c r="M20" s="92"/>
      <c r="N20" s="92"/>
      <c r="O20" s="92"/>
    </row>
    <row r="21" spans="2:15">
      <c r="B21" t="s">
        <v>15</v>
      </c>
      <c r="C21">
        <v>3200</v>
      </c>
      <c r="J21" s="92"/>
      <c r="K21" s="92"/>
      <c r="L21" s="92"/>
      <c r="M21" s="92"/>
      <c r="N21" s="92"/>
      <c r="O21" s="92"/>
    </row>
  </sheetData>
  <mergeCells count="1">
    <mergeCell ref="J2:O21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7"/>
  <sheetViews>
    <sheetView workbookViewId="0">
      <selection activeCell="G4" sqref="G4"/>
    </sheetView>
  </sheetViews>
  <sheetFormatPr baseColWidth="10" defaultRowHeight="15"/>
  <cols>
    <col min="4" max="4" width="15.140625" bestFit="1" customWidth="1"/>
    <col min="5" max="5" width="16.7109375" customWidth="1"/>
    <col min="6" max="6" width="15.5703125" bestFit="1" customWidth="1"/>
    <col min="7" max="7" width="15.85546875" customWidth="1"/>
  </cols>
  <sheetData>
    <row r="1" spans="2:18">
      <c r="B1" s="94" t="s">
        <v>24</v>
      </c>
      <c r="C1" s="94"/>
      <c r="D1" s="94"/>
      <c r="E1" s="94"/>
      <c r="F1" s="94"/>
      <c r="G1" s="94"/>
      <c r="K1" s="94"/>
      <c r="L1" s="94"/>
      <c r="M1" s="94"/>
    </row>
    <row r="2" spans="2:18">
      <c r="E2" s="1">
        <v>0.2</v>
      </c>
      <c r="H2" s="1"/>
      <c r="I2" s="1"/>
      <c r="J2" s="1"/>
      <c r="K2" s="1"/>
      <c r="L2" s="1"/>
      <c r="M2" s="1"/>
    </row>
    <row r="3" spans="2:18">
      <c r="B3" t="s">
        <v>20</v>
      </c>
      <c r="C3" t="s">
        <v>21</v>
      </c>
      <c r="D3" t="s">
        <v>25</v>
      </c>
      <c r="E3" t="s">
        <v>22</v>
      </c>
      <c r="F3" t="s">
        <v>23</v>
      </c>
      <c r="G3" t="s">
        <v>26</v>
      </c>
      <c r="N3" s="93" t="s">
        <v>27</v>
      </c>
      <c r="O3" s="93"/>
      <c r="P3" s="93"/>
      <c r="Q3" s="93"/>
      <c r="R3" s="93"/>
    </row>
    <row r="4" spans="2:18">
      <c r="B4" t="s">
        <v>148</v>
      </c>
      <c r="C4" t="s">
        <v>149</v>
      </c>
      <c r="D4" s="87">
        <v>10200000</v>
      </c>
      <c r="E4" s="90">
        <f>D4*20%</f>
        <v>2040000</v>
      </c>
      <c r="F4" s="90">
        <f>D4+E4</f>
        <v>12240000</v>
      </c>
      <c r="N4" s="93"/>
      <c r="O4" s="93"/>
      <c r="P4" s="93"/>
      <c r="Q4" s="93"/>
      <c r="R4" s="93"/>
    </row>
    <row r="5" spans="2:18">
      <c r="D5" s="2"/>
      <c r="E5" s="2"/>
      <c r="G5" s="3"/>
      <c r="K5" s="3"/>
      <c r="L5" s="3"/>
      <c r="M5" s="3"/>
      <c r="N5" s="93"/>
      <c r="O5" s="93"/>
      <c r="P5" s="93"/>
      <c r="Q5" s="93"/>
      <c r="R5" s="93"/>
    </row>
    <row r="6" spans="2:18">
      <c r="D6" s="2"/>
      <c r="E6" s="2"/>
      <c r="N6" s="93"/>
      <c r="O6" s="93"/>
      <c r="P6" s="93"/>
      <c r="Q6" s="93"/>
      <c r="R6" s="93"/>
    </row>
    <row r="7" spans="2:18">
      <c r="D7" s="2"/>
      <c r="E7" s="2"/>
      <c r="N7" s="93"/>
      <c r="O7" s="93"/>
      <c r="P7" s="93"/>
      <c r="Q7" s="93"/>
      <c r="R7" s="93"/>
    </row>
    <row r="8" spans="2:18">
      <c r="D8" s="2"/>
      <c r="E8" s="2"/>
      <c r="N8" s="93"/>
      <c r="O8" s="93"/>
      <c r="P8" s="93"/>
      <c r="Q8" s="93"/>
      <c r="R8" s="93"/>
    </row>
    <row r="9" spans="2:18">
      <c r="D9" s="2"/>
      <c r="E9" s="2"/>
      <c r="N9" s="93"/>
      <c r="O9" s="93"/>
      <c r="P9" s="93"/>
      <c r="Q9" s="93"/>
      <c r="R9" s="93"/>
    </row>
    <row r="10" spans="2:18">
      <c r="D10" s="2"/>
      <c r="E10" s="2"/>
      <c r="N10" s="93"/>
      <c r="O10" s="93"/>
      <c r="P10" s="93"/>
      <c r="Q10" s="93"/>
      <c r="R10" s="93"/>
    </row>
    <row r="11" spans="2:18">
      <c r="D11" s="2"/>
      <c r="E11" s="2"/>
    </row>
    <row r="12" spans="2:18">
      <c r="D12" s="2"/>
      <c r="E12" s="2"/>
    </row>
    <row r="13" spans="2:18">
      <c r="D13" s="2"/>
      <c r="E13" s="2"/>
    </row>
    <row r="14" spans="2:18">
      <c r="D14" s="2"/>
      <c r="E14" s="2"/>
    </row>
    <row r="15" spans="2:18">
      <c r="D15" s="2"/>
      <c r="E15" s="2"/>
    </row>
    <row r="16" spans="2:18">
      <c r="D16" s="2"/>
      <c r="E16" s="2"/>
    </row>
    <row r="17" spans="4:5">
      <c r="D17" s="2"/>
      <c r="E17" s="2"/>
    </row>
  </sheetData>
  <mergeCells count="3">
    <mergeCell ref="N3:R10"/>
    <mergeCell ref="K1:M1"/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4"/>
  <sheetViews>
    <sheetView tabSelected="1" workbookViewId="0">
      <selection activeCell="D15" sqref="D15"/>
    </sheetView>
  </sheetViews>
  <sheetFormatPr baseColWidth="10" defaultRowHeight="15"/>
  <sheetData>
    <row r="3" spans="1:5">
      <c r="D3" s="4" t="s">
        <v>4</v>
      </c>
      <c r="E3" s="4" t="s">
        <v>28</v>
      </c>
    </row>
    <row r="4" spans="1:5">
      <c r="D4" s="5">
        <v>0.1</v>
      </c>
      <c r="E4" s="5">
        <v>0.2</v>
      </c>
    </row>
    <row r="5" spans="1:5" ht="15.75" thickBot="1">
      <c r="A5" s="6" t="s">
        <v>29</v>
      </c>
      <c r="B5" s="6" t="s">
        <v>30</v>
      </c>
      <c r="C5" s="6" t="s">
        <v>31</v>
      </c>
      <c r="D5" s="7" t="s">
        <v>32</v>
      </c>
      <c r="E5" s="7" t="s">
        <v>33</v>
      </c>
    </row>
    <row r="6" spans="1:5" ht="16.5" thickTop="1" thickBot="1">
      <c r="A6" s="8" t="s">
        <v>34</v>
      </c>
      <c r="B6" s="8">
        <v>10</v>
      </c>
      <c r="C6" s="9">
        <v>18</v>
      </c>
      <c r="D6" s="10">
        <f>(C6*B6)-D$4</f>
        <v>179.9</v>
      </c>
      <c r="E6" s="13">
        <f t="shared" ref="E6:E10" si="0">(B6*C6)+E$4</f>
        <v>180.2</v>
      </c>
    </row>
    <row r="7" spans="1:5" ht="15.75" thickBot="1">
      <c r="A7" s="8" t="s">
        <v>35</v>
      </c>
      <c r="B7" s="8">
        <v>21</v>
      </c>
      <c r="C7" s="9">
        <v>19</v>
      </c>
      <c r="D7" s="10">
        <f>(C7*B7)-D$4</f>
        <v>398.9</v>
      </c>
      <c r="E7" s="13">
        <f t="shared" si="0"/>
        <v>399.2</v>
      </c>
    </row>
    <row r="8" spans="1:5" ht="15.75" thickBot="1">
      <c r="A8" s="8" t="s">
        <v>36</v>
      </c>
      <c r="B8" s="8">
        <v>44</v>
      </c>
      <c r="C8" s="9">
        <v>10</v>
      </c>
      <c r="D8" s="10">
        <f>(C8*B8)-D$4</f>
        <v>439.9</v>
      </c>
      <c r="E8" s="13">
        <f t="shared" si="0"/>
        <v>440.2</v>
      </c>
    </row>
    <row r="9" spans="1:5" ht="15.75" thickBot="1">
      <c r="A9" s="8" t="s">
        <v>37</v>
      </c>
      <c r="B9" s="8">
        <v>22</v>
      </c>
      <c r="C9" s="9">
        <v>22</v>
      </c>
      <c r="D9" s="10">
        <f t="shared" ref="D9:D11" si="1">(C9*B9)-D$4</f>
        <v>483.9</v>
      </c>
      <c r="E9" s="13">
        <f t="shared" si="0"/>
        <v>484.2</v>
      </c>
    </row>
    <row r="10" spans="1:5" ht="15.75" thickBot="1">
      <c r="A10" s="8" t="s">
        <v>38</v>
      </c>
      <c r="B10" s="8">
        <v>32</v>
      </c>
      <c r="C10" s="9">
        <v>21.35</v>
      </c>
      <c r="D10" s="10">
        <f t="shared" si="1"/>
        <v>683.1</v>
      </c>
      <c r="E10" s="13">
        <f t="shared" si="0"/>
        <v>683.40000000000009</v>
      </c>
    </row>
    <row r="11" spans="1:5" ht="15.75" thickBot="1">
      <c r="A11" s="11" t="s">
        <v>39</v>
      </c>
      <c r="B11" s="11">
        <v>12</v>
      </c>
      <c r="C11" s="12">
        <v>25</v>
      </c>
      <c r="D11" s="10">
        <f t="shared" si="1"/>
        <v>299.89999999999998</v>
      </c>
      <c r="E11" s="13">
        <f>(B11*C11)+E$4</f>
        <v>300.2</v>
      </c>
    </row>
    <row r="12" spans="1:5" ht="15.75" thickBot="1">
      <c r="A12" s="14" t="s">
        <v>40</v>
      </c>
      <c r="B12" s="15"/>
      <c r="C12" s="15"/>
      <c r="D12" s="16">
        <f>SUM(D6:D11)</f>
        <v>2485.6</v>
      </c>
      <c r="E12" s="17"/>
    </row>
    <row r="13" spans="1:5" ht="15.75" thickBot="1">
      <c r="A13" s="14" t="s">
        <v>41</v>
      </c>
      <c r="B13" s="15"/>
      <c r="C13" s="15"/>
      <c r="D13" s="17"/>
      <c r="E13" s="16">
        <f>SUM(E6:E11)</f>
        <v>2487.3999999999996</v>
      </c>
    </row>
    <row r="14" spans="1:5" ht="15.75" thickBot="1">
      <c r="A14" s="14" t="s">
        <v>42</v>
      </c>
      <c r="B14" s="15"/>
      <c r="C14" s="15"/>
      <c r="D14" s="16">
        <f>D12-E13</f>
        <v>-1.7999999999997272</v>
      </c>
      <c r="E14" s="17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22"/>
  <sheetViews>
    <sheetView topLeftCell="A5" workbookViewId="0">
      <selection activeCell="H21" sqref="H21"/>
    </sheetView>
  </sheetViews>
  <sheetFormatPr baseColWidth="10" defaultRowHeight="15"/>
  <sheetData>
    <row r="2" spans="2:9" ht="15.75" thickBot="1"/>
    <row r="3" spans="2:9" ht="15.75" thickBot="1">
      <c r="B3" s="95" t="s">
        <v>43</v>
      </c>
      <c r="C3" s="96"/>
      <c r="D3" s="96"/>
      <c r="E3" s="96"/>
      <c r="F3" s="96"/>
      <c r="G3" s="96"/>
      <c r="H3" s="96"/>
      <c r="I3" s="97"/>
    </row>
    <row r="4" spans="2:9" ht="15.75" thickBot="1">
      <c r="B4" s="18"/>
      <c r="C4" s="18"/>
      <c r="D4" s="18"/>
      <c r="E4" s="18"/>
      <c r="F4" s="18"/>
      <c r="G4" s="18"/>
      <c r="H4" s="18"/>
      <c r="I4" s="18"/>
    </row>
    <row r="5" spans="2:9">
      <c r="B5" s="19"/>
      <c r="C5" s="20"/>
      <c r="D5" s="20" t="s">
        <v>44</v>
      </c>
      <c r="E5" s="20" t="s">
        <v>45</v>
      </c>
      <c r="F5" s="20" t="s">
        <v>46</v>
      </c>
      <c r="G5" s="20" t="s">
        <v>47</v>
      </c>
      <c r="H5" s="20" t="s">
        <v>48</v>
      </c>
      <c r="I5" s="21" t="s">
        <v>49</v>
      </c>
    </row>
    <row r="6" spans="2:9" ht="15.75" thickBot="1">
      <c r="B6" s="22" t="s">
        <v>50</v>
      </c>
      <c r="C6" s="23" t="s">
        <v>51</v>
      </c>
      <c r="D6" s="24">
        <v>0.11</v>
      </c>
      <c r="E6" s="24">
        <v>0.03</v>
      </c>
      <c r="F6" s="24">
        <v>0.03</v>
      </c>
      <c r="G6" s="24">
        <v>0.02</v>
      </c>
      <c r="H6" s="23" t="s">
        <v>52</v>
      </c>
      <c r="I6" s="25" t="s">
        <v>53</v>
      </c>
    </row>
    <row r="7" spans="2:9">
      <c r="B7" s="26" t="s">
        <v>54</v>
      </c>
      <c r="C7" s="27">
        <v>525</v>
      </c>
      <c r="D7" s="91">
        <f>$C7*D$6</f>
        <v>57.75</v>
      </c>
      <c r="E7" s="91">
        <f t="shared" ref="E7:G17" si="0">$C7*E$6</f>
        <v>15.75</v>
      </c>
      <c r="F7" s="91">
        <f t="shared" si="0"/>
        <v>15.75</v>
      </c>
      <c r="G7" s="91">
        <f t="shared" si="0"/>
        <v>10.5</v>
      </c>
      <c r="H7" s="91">
        <f>SUM(D7:G7)</f>
        <v>99.75</v>
      </c>
      <c r="I7" s="91">
        <f>C7-H7</f>
        <v>425.25</v>
      </c>
    </row>
    <row r="8" spans="2:9">
      <c r="B8" s="28" t="s">
        <v>55</v>
      </c>
      <c r="C8" s="29">
        <v>446</v>
      </c>
      <c r="D8" s="91">
        <f t="shared" ref="D8:D17" si="1">$C8*D$6</f>
        <v>49.06</v>
      </c>
      <c r="E8" s="91">
        <f t="shared" si="0"/>
        <v>13.379999999999999</v>
      </c>
      <c r="F8" s="91">
        <f t="shared" si="0"/>
        <v>13.379999999999999</v>
      </c>
      <c r="G8" s="91">
        <f t="shared" si="0"/>
        <v>8.92</v>
      </c>
      <c r="H8" s="91">
        <f t="shared" ref="H8:H17" si="2">SUM(D8:G8)</f>
        <v>84.74</v>
      </c>
      <c r="I8" s="91">
        <f t="shared" ref="I8:I17" si="3">C8-H8</f>
        <v>361.26</v>
      </c>
    </row>
    <row r="9" spans="2:9">
      <c r="B9" s="28" t="s">
        <v>56</v>
      </c>
      <c r="C9" s="29">
        <v>399</v>
      </c>
      <c r="D9" s="91">
        <f t="shared" si="1"/>
        <v>43.89</v>
      </c>
      <c r="E9" s="91">
        <f t="shared" si="0"/>
        <v>11.969999999999999</v>
      </c>
      <c r="F9" s="91">
        <f t="shared" si="0"/>
        <v>11.969999999999999</v>
      </c>
      <c r="G9" s="91">
        <f t="shared" si="0"/>
        <v>7.98</v>
      </c>
      <c r="H9" s="91">
        <f t="shared" si="2"/>
        <v>75.81</v>
      </c>
      <c r="I9" s="91">
        <f t="shared" si="3"/>
        <v>323.19</v>
      </c>
    </row>
    <row r="10" spans="2:9">
      <c r="B10" s="28" t="s">
        <v>57</v>
      </c>
      <c r="C10" s="29">
        <v>461</v>
      </c>
      <c r="D10" s="91">
        <f t="shared" si="1"/>
        <v>50.71</v>
      </c>
      <c r="E10" s="91">
        <f t="shared" si="0"/>
        <v>13.83</v>
      </c>
      <c r="F10" s="91">
        <f t="shared" si="0"/>
        <v>13.83</v>
      </c>
      <c r="G10" s="91">
        <f t="shared" si="0"/>
        <v>9.2200000000000006</v>
      </c>
      <c r="H10" s="91">
        <f t="shared" si="2"/>
        <v>87.59</v>
      </c>
      <c r="I10" s="91">
        <f t="shared" si="3"/>
        <v>373.40999999999997</v>
      </c>
    </row>
    <row r="11" spans="2:9">
      <c r="B11" s="28" t="s">
        <v>58</v>
      </c>
      <c r="C11" s="29">
        <v>209</v>
      </c>
      <c r="D11" s="91">
        <f t="shared" si="1"/>
        <v>22.99</v>
      </c>
      <c r="E11" s="91">
        <f t="shared" si="0"/>
        <v>6.27</v>
      </c>
      <c r="F11" s="91">
        <f t="shared" si="0"/>
        <v>6.27</v>
      </c>
      <c r="G11" s="91">
        <f t="shared" si="0"/>
        <v>4.18</v>
      </c>
      <c r="H11" s="91">
        <f t="shared" si="2"/>
        <v>39.71</v>
      </c>
      <c r="I11" s="91">
        <f t="shared" si="3"/>
        <v>169.29</v>
      </c>
    </row>
    <row r="12" spans="2:9">
      <c r="B12" s="28" t="s">
        <v>59</v>
      </c>
      <c r="C12" s="29">
        <v>304</v>
      </c>
      <c r="D12" s="91">
        <f t="shared" si="1"/>
        <v>33.44</v>
      </c>
      <c r="E12" s="91">
        <f t="shared" si="0"/>
        <v>9.1199999999999992</v>
      </c>
      <c r="F12" s="91">
        <f t="shared" si="0"/>
        <v>9.1199999999999992</v>
      </c>
      <c r="G12" s="91">
        <f t="shared" si="0"/>
        <v>6.08</v>
      </c>
      <c r="H12" s="91">
        <f t="shared" si="2"/>
        <v>57.759999999999991</v>
      </c>
      <c r="I12" s="91">
        <f t="shared" si="3"/>
        <v>246.24</v>
      </c>
    </row>
    <row r="13" spans="2:9">
      <c r="B13" s="28" t="s">
        <v>60</v>
      </c>
      <c r="C13" s="29">
        <v>376</v>
      </c>
      <c r="D13" s="91">
        <f t="shared" si="1"/>
        <v>41.36</v>
      </c>
      <c r="E13" s="91">
        <f t="shared" si="0"/>
        <v>11.28</v>
      </c>
      <c r="F13" s="91">
        <f t="shared" si="0"/>
        <v>11.28</v>
      </c>
      <c r="G13" s="91">
        <f t="shared" si="0"/>
        <v>7.5200000000000005</v>
      </c>
      <c r="H13" s="91">
        <f t="shared" si="2"/>
        <v>71.44</v>
      </c>
      <c r="I13" s="91">
        <f t="shared" si="3"/>
        <v>304.56</v>
      </c>
    </row>
    <row r="14" spans="2:9">
      <c r="B14" s="28" t="s">
        <v>61</v>
      </c>
      <c r="C14" s="29">
        <v>307</v>
      </c>
      <c r="D14" s="91">
        <f t="shared" si="1"/>
        <v>33.770000000000003</v>
      </c>
      <c r="E14" s="91">
        <f t="shared" si="0"/>
        <v>9.2099999999999991</v>
      </c>
      <c r="F14" s="91">
        <f t="shared" si="0"/>
        <v>9.2099999999999991</v>
      </c>
      <c r="G14" s="91">
        <f t="shared" si="0"/>
        <v>6.1400000000000006</v>
      </c>
      <c r="H14" s="91">
        <f t="shared" si="2"/>
        <v>58.330000000000005</v>
      </c>
      <c r="I14" s="91">
        <f t="shared" si="3"/>
        <v>248.67</v>
      </c>
    </row>
    <row r="15" spans="2:9">
      <c r="B15" s="28" t="s">
        <v>62</v>
      </c>
      <c r="C15" s="29">
        <v>385</v>
      </c>
      <c r="D15" s="91">
        <f t="shared" si="1"/>
        <v>42.35</v>
      </c>
      <c r="E15" s="91">
        <f t="shared" si="0"/>
        <v>11.549999999999999</v>
      </c>
      <c r="F15" s="91">
        <f t="shared" si="0"/>
        <v>11.549999999999999</v>
      </c>
      <c r="G15" s="91">
        <f t="shared" si="0"/>
        <v>7.7</v>
      </c>
      <c r="H15" s="91">
        <f t="shared" si="2"/>
        <v>73.150000000000006</v>
      </c>
      <c r="I15" s="91">
        <f t="shared" si="3"/>
        <v>311.85000000000002</v>
      </c>
    </row>
    <row r="16" spans="2:9">
      <c r="B16" s="28" t="s">
        <v>63</v>
      </c>
      <c r="C16" s="29">
        <v>438</v>
      </c>
      <c r="D16" s="91">
        <f t="shared" si="1"/>
        <v>48.18</v>
      </c>
      <c r="E16" s="91">
        <f t="shared" si="0"/>
        <v>13.139999999999999</v>
      </c>
      <c r="F16" s="91">
        <f t="shared" si="0"/>
        <v>13.139999999999999</v>
      </c>
      <c r="G16" s="91">
        <f t="shared" si="0"/>
        <v>8.76</v>
      </c>
      <c r="H16" s="91">
        <f t="shared" si="2"/>
        <v>83.22</v>
      </c>
      <c r="I16" s="91">
        <f t="shared" si="3"/>
        <v>354.78</v>
      </c>
    </row>
    <row r="17" spans="2:9">
      <c r="B17" s="28" t="s">
        <v>64</v>
      </c>
      <c r="C17" s="29">
        <v>436</v>
      </c>
      <c r="D17" s="91">
        <f t="shared" si="1"/>
        <v>47.96</v>
      </c>
      <c r="E17" s="91">
        <f t="shared" si="0"/>
        <v>13.08</v>
      </c>
      <c r="F17" s="91">
        <f t="shared" si="0"/>
        <v>13.08</v>
      </c>
      <c r="G17" s="91">
        <f t="shared" si="0"/>
        <v>8.7200000000000006</v>
      </c>
      <c r="H17" s="91">
        <f t="shared" si="2"/>
        <v>82.84</v>
      </c>
      <c r="I17" s="91">
        <f t="shared" si="3"/>
        <v>353.15999999999997</v>
      </c>
    </row>
    <row r="18" spans="2:9">
      <c r="B18" s="30"/>
      <c r="C18" s="30"/>
      <c r="D18" s="30"/>
      <c r="E18" s="30"/>
      <c r="F18" s="30"/>
      <c r="G18" s="30"/>
      <c r="H18" s="30"/>
      <c r="I18" s="30"/>
    </row>
    <row r="19" spans="2:9">
      <c r="B19" s="30"/>
      <c r="C19" s="30"/>
      <c r="D19" s="30"/>
      <c r="E19" s="30"/>
      <c r="F19" s="30"/>
      <c r="G19" s="30"/>
      <c r="H19" s="30"/>
      <c r="I19" s="30"/>
    </row>
    <row r="20" spans="2:9">
      <c r="B20" s="30" t="s">
        <v>65</v>
      </c>
      <c r="C20" s="30"/>
      <c r="D20" s="30"/>
      <c r="E20" s="30"/>
      <c r="F20" s="30"/>
      <c r="G20" s="30"/>
      <c r="H20" s="30"/>
      <c r="I20" s="30"/>
    </row>
    <row r="21" spans="2:9">
      <c r="B21" s="30" t="s">
        <v>66</v>
      </c>
      <c r="C21" s="30"/>
      <c r="D21" s="30"/>
      <c r="E21" s="30"/>
      <c r="F21" s="30"/>
      <c r="G21" s="30"/>
      <c r="H21" s="30"/>
      <c r="I21" s="30"/>
    </row>
    <row r="22" spans="2:9">
      <c r="B22" s="30" t="s">
        <v>67</v>
      </c>
      <c r="C22" s="30"/>
      <c r="D22" s="30"/>
      <c r="E22" s="30"/>
      <c r="F22" s="30"/>
      <c r="G22" s="30"/>
      <c r="H22" s="30"/>
      <c r="I22" s="30"/>
    </row>
  </sheetData>
  <mergeCells count="1">
    <mergeCell ref="B3:I3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J18"/>
  <sheetViews>
    <sheetView workbookViewId="0">
      <selection activeCell="F6" sqref="F6"/>
    </sheetView>
  </sheetViews>
  <sheetFormatPr baseColWidth="10" defaultRowHeight="15"/>
  <sheetData>
    <row r="3" spans="3:10">
      <c r="C3" s="31" t="s">
        <v>68</v>
      </c>
      <c r="D3" s="31" t="s">
        <v>69</v>
      </c>
      <c r="E3" s="98" t="s">
        <v>70</v>
      </c>
      <c r="F3" s="94"/>
      <c r="G3" s="94"/>
      <c r="H3" s="94"/>
      <c r="I3" s="94"/>
      <c r="J3" s="94"/>
    </row>
    <row r="4" spans="3:10">
      <c r="E4">
        <v>2.2000000000000002</v>
      </c>
      <c r="F4">
        <v>2.5</v>
      </c>
      <c r="G4">
        <v>2.75</v>
      </c>
      <c r="H4">
        <v>2.85</v>
      </c>
      <c r="I4">
        <v>2.93</v>
      </c>
      <c r="J4">
        <v>3</v>
      </c>
    </row>
    <row r="5" spans="3:10">
      <c r="C5">
        <v>248</v>
      </c>
      <c r="D5">
        <v>1</v>
      </c>
      <c r="E5">
        <f>$D5*E$4</f>
        <v>2.2000000000000002</v>
      </c>
      <c r="F5">
        <f t="shared" ref="F5:J15" si="0">$D5*F$4</f>
        <v>2.5</v>
      </c>
      <c r="G5">
        <f t="shared" si="0"/>
        <v>2.75</v>
      </c>
      <c r="H5">
        <f t="shared" si="0"/>
        <v>2.85</v>
      </c>
      <c r="I5">
        <f t="shared" si="0"/>
        <v>2.93</v>
      </c>
      <c r="J5">
        <f t="shared" si="0"/>
        <v>3</v>
      </c>
    </row>
    <row r="6" spans="3:10">
      <c r="C6">
        <v>260</v>
      </c>
      <c r="D6">
        <v>2</v>
      </c>
      <c r="E6">
        <f t="shared" ref="E6:E15" si="1">$D6*E$4</f>
        <v>4.4000000000000004</v>
      </c>
      <c r="F6">
        <f t="shared" si="0"/>
        <v>5</v>
      </c>
      <c r="G6">
        <f t="shared" si="0"/>
        <v>5.5</v>
      </c>
      <c r="H6">
        <f t="shared" si="0"/>
        <v>5.7</v>
      </c>
      <c r="I6">
        <f t="shared" si="0"/>
        <v>5.86</v>
      </c>
      <c r="J6">
        <f t="shared" si="0"/>
        <v>6</v>
      </c>
    </row>
    <row r="7" spans="3:10">
      <c r="C7">
        <v>530</v>
      </c>
      <c r="D7">
        <v>3</v>
      </c>
      <c r="E7">
        <f t="shared" si="1"/>
        <v>6.6000000000000005</v>
      </c>
      <c r="F7">
        <f t="shared" si="0"/>
        <v>7.5</v>
      </c>
      <c r="G7">
        <f t="shared" si="0"/>
        <v>8.25</v>
      </c>
      <c r="H7">
        <f t="shared" si="0"/>
        <v>8.5500000000000007</v>
      </c>
      <c r="I7">
        <f t="shared" si="0"/>
        <v>8.7900000000000009</v>
      </c>
      <c r="J7">
        <f t="shared" si="0"/>
        <v>9</v>
      </c>
    </row>
    <row r="8" spans="3:10">
      <c r="C8">
        <v>450</v>
      </c>
      <c r="D8">
        <v>4</v>
      </c>
      <c r="E8">
        <f t="shared" si="1"/>
        <v>8.8000000000000007</v>
      </c>
      <c r="F8">
        <f t="shared" si="0"/>
        <v>10</v>
      </c>
      <c r="G8">
        <f t="shared" si="0"/>
        <v>11</v>
      </c>
      <c r="H8">
        <f t="shared" si="0"/>
        <v>11.4</v>
      </c>
      <c r="I8">
        <f t="shared" si="0"/>
        <v>11.72</v>
      </c>
      <c r="J8">
        <f t="shared" si="0"/>
        <v>12</v>
      </c>
    </row>
    <row r="9" spans="3:10">
      <c r="C9">
        <v>620</v>
      </c>
      <c r="D9">
        <v>5</v>
      </c>
      <c r="E9">
        <f t="shared" si="1"/>
        <v>11</v>
      </c>
      <c r="F9">
        <f t="shared" si="0"/>
        <v>12.5</v>
      </c>
      <c r="G9">
        <f t="shared" si="0"/>
        <v>13.75</v>
      </c>
      <c r="H9">
        <f t="shared" si="0"/>
        <v>14.25</v>
      </c>
      <c r="I9">
        <f t="shared" si="0"/>
        <v>14.65</v>
      </c>
      <c r="J9">
        <f t="shared" si="0"/>
        <v>15</v>
      </c>
    </row>
    <row r="10" spans="3:10">
      <c r="C10">
        <v>890</v>
      </c>
      <c r="D10">
        <v>6</v>
      </c>
      <c r="E10">
        <f t="shared" si="1"/>
        <v>13.200000000000001</v>
      </c>
      <c r="F10">
        <f t="shared" si="0"/>
        <v>15</v>
      </c>
      <c r="G10">
        <f t="shared" si="0"/>
        <v>16.5</v>
      </c>
      <c r="H10">
        <f t="shared" si="0"/>
        <v>17.100000000000001</v>
      </c>
      <c r="I10">
        <f t="shared" si="0"/>
        <v>17.580000000000002</v>
      </c>
      <c r="J10">
        <f t="shared" si="0"/>
        <v>18</v>
      </c>
    </row>
    <row r="11" spans="3:10">
      <c r="C11">
        <v>35</v>
      </c>
      <c r="D11">
        <v>7</v>
      </c>
      <c r="E11">
        <f t="shared" si="1"/>
        <v>15.400000000000002</v>
      </c>
      <c r="F11">
        <f t="shared" si="0"/>
        <v>17.5</v>
      </c>
      <c r="G11">
        <f t="shared" si="0"/>
        <v>19.25</v>
      </c>
      <c r="H11">
        <f t="shared" si="0"/>
        <v>19.95</v>
      </c>
      <c r="I11">
        <f t="shared" si="0"/>
        <v>20.51</v>
      </c>
      <c r="J11">
        <f t="shared" si="0"/>
        <v>21</v>
      </c>
    </row>
    <row r="12" spans="3:10">
      <c r="C12">
        <v>61</v>
      </c>
      <c r="D12">
        <v>8</v>
      </c>
      <c r="E12">
        <f t="shared" si="1"/>
        <v>17.600000000000001</v>
      </c>
      <c r="F12">
        <f t="shared" si="0"/>
        <v>20</v>
      </c>
      <c r="G12">
        <f t="shared" si="0"/>
        <v>22</v>
      </c>
      <c r="H12">
        <f t="shared" si="0"/>
        <v>22.8</v>
      </c>
      <c r="I12">
        <f t="shared" si="0"/>
        <v>23.44</v>
      </c>
      <c r="J12">
        <f t="shared" si="0"/>
        <v>24</v>
      </c>
    </row>
    <row r="13" spans="3:10">
      <c r="C13">
        <v>45</v>
      </c>
      <c r="D13">
        <v>9</v>
      </c>
      <c r="E13">
        <f t="shared" si="1"/>
        <v>19.8</v>
      </c>
      <c r="F13">
        <f t="shared" si="0"/>
        <v>22.5</v>
      </c>
      <c r="G13">
        <f t="shared" si="0"/>
        <v>24.75</v>
      </c>
      <c r="H13">
        <f t="shared" si="0"/>
        <v>25.650000000000002</v>
      </c>
      <c r="I13">
        <f t="shared" si="0"/>
        <v>26.37</v>
      </c>
      <c r="J13">
        <f t="shared" si="0"/>
        <v>27</v>
      </c>
    </row>
    <row r="14" spans="3:10">
      <c r="C14">
        <v>22</v>
      </c>
      <c r="D14">
        <v>10</v>
      </c>
      <c r="E14">
        <f t="shared" si="1"/>
        <v>22</v>
      </c>
      <c r="F14">
        <f t="shared" si="0"/>
        <v>25</v>
      </c>
      <c r="G14">
        <f t="shared" si="0"/>
        <v>27.5</v>
      </c>
      <c r="H14">
        <f t="shared" si="0"/>
        <v>28.5</v>
      </c>
      <c r="I14">
        <f t="shared" si="0"/>
        <v>29.3</v>
      </c>
      <c r="J14">
        <f t="shared" si="0"/>
        <v>30</v>
      </c>
    </row>
    <row r="15" spans="3:10">
      <c r="C15">
        <v>69</v>
      </c>
      <c r="D15">
        <v>11</v>
      </c>
      <c r="E15">
        <f t="shared" si="1"/>
        <v>24.200000000000003</v>
      </c>
      <c r="F15">
        <f t="shared" si="0"/>
        <v>27.5</v>
      </c>
      <c r="G15">
        <f t="shared" si="0"/>
        <v>30.25</v>
      </c>
      <c r="H15">
        <f t="shared" si="0"/>
        <v>31.35</v>
      </c>
      <c r="I15">
        <f t="shared" si="0"/>
        <v>32.230000000000004</v>
      </c>
      <c r="J15">
        <f t="shared" si="0"/>
        <v>33</v>
      </c>
    </row>
    <row r="17" spans="3:3">
      <c r="C17" t="s">
        <v>71</v>
      </c>
    </row>
    <row r="18" spans="3:3">
      <c r="C18" t="s">
        <v>72</v>
      </c>
    </row>
  </sheetData>
  <mergeCells count="1">
    <mergeCell ref="E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32"/>
  <sheetViews>
    <sheetView workbookViewId="0">
      <selection activeCell="M23" sqref="M23"/>
    </sheetView>
  </sheetViews>
  <sheetFormatPr baseColWidth="10" defaultRowHeight="15"/>
  <cols>
    <col min="7" max="7" width="13" customWidth="1"/>
    <col min="8" max="8" width="13.28515625" customWidth="1"/>
    <col min="9" max="9" width="14.5703125" customWidth="1"/>
    <col min="10" max="10" width="13.7109375" customWidth="1"/>
    <col min="11" max="11" width="14.28515625" customWidth="1"/>
  </cols>
  <sheetData>
    <row r="2" spans="2:11" ht="18">
      <c r="B2" s="32" t="s">
        <v>73</v>
      </c>
    </row>
    <row r="3" spans="2:11" ht="15.75" thickBot="1">
      <c r="E3" s="99" t="s">
        <v>74</v>
      </c>
      <c r="F3" s="99"/>
      <c r="G3" s="99"/>
      <c r="H3" s="99"/>
      <c r="I3" s="99"/>
      <c r="J3" s="99"/>
      <c r="K3" s="99"/>
    </row>
    <row r="4" spans="2:11" ht="16.5" thickTop="1" thickBot="1">
      <c r="B4" s="33" t="s">
        <v>75</v>
      </c>
      <c r="C4" s="34" t="s">
        <v>76</v>
      </c>
      <c r="D4" s="34" t="s">
        <v>77</v>
      </c>
      <c r="E4" s="35">
        <v>400</v>
      </c>
      <c r="F4" s="35">
        <v>500</v>
      </c>
      <c r="G4" s="35">
        <v>600000</v>
      </c>
      <c r="H4" s="35">
        <v>700000</v>
      </c>
      <c r="I4" s="35">
        <v>800000</v>
      </c>
      <c r="J4" s="35">
        <v>900000</v>
      </c>
      <c r="K4" s="36">
        <v>1000000</v>
      </c>
    </row>
    <row r="5" spans="2:11" ht="15.75" thickTop="1">
      <c r="B5" s="37" t="s">
        <v>78</v>
      </c>
      <c r="C5" s="38">
        <v>1.5</v>
      </c>
      <c r="D5" s="39">
        <v>3.3500000000000002E-2</v>
      </c>
      <c r="E5" s="40">
        <f>($C5+$D5)+E$4</f>
        <v>401.5335</v>
      </c>
      <c r="F5" s="40">
        <f t="shared" ref="F5:K20" si="0">($C5+$D5)+F$4</f>
        <v>501.5335</v>
      </c>
      <c r="G5" s="40">
        <f t="shared" si="0"/>
        <v>600001.53350000002</v>
      </c>
      <c r="H5" s="40">
        <f t="shared" si="0"/>
        <v>700001.53350000002</v>
      </c>
      <c r="I5" s="40">
        <f t="shared" si="0"/>
        <v>800001.53350000002</v>
      </c>
      <c r="J5" s="40">
        <f t="shared" si="0"/>
        <v>900001.53350000002</v>
      </c>
      <c r="K5" s="40">
        <f t="shared" si="0"/>
        <v>1000001.5335</v>
      </c>
    </row>
    <row r="6" spans="2:11">
      <c r="B6" s="41" t="s">
        <v>79</v>
      </c>
      <c r="C6" s="42">
        <v>2</v>
      </c>
      <c r="D6" s="43">
        <v>3.1E-2</v>
      </c>
      <c r="E6" s="40">
        <f t="shared" ref="E6:K26" si="1">($C6+$D6)+E$4</f>
        <v>402.03100000000001</v>
      </c>
      <c r="F6" s="40">
        <f t="shared" si="0"/>
        <v>502.03100000000001</v>
      </c>
      <c r="G6" s="40">
        <f t="shared" si="0"/>
        <v>600002.03099999996</v>
      </c>
      <c r="H6" s="40">
        <f t="shared" si="0"/>
        <v>700002.03099999996</v>
      </c>
      <c r="I6" s="40">
        <f t="shared" si="0"/>
        <v>800002.03099999996</v>
      </c>
      <c r="J6" s="40">
        <f t="shared" si="0"/>
        <v>900002.03099999996</v>
      </c>
      <c r="K6" s="40">
        <f t="shared" si="0"/>
        <v>1000002.031</v>
      </c>
    </row>
    <row r="7" spans="2:11">
      <c r="B7" s="41" t="s">
        <v>80</v>
      </c>
      <c r="C7" s="42">
        <v>5</v>
      </c>
      <c r="D7" s="44">
        <v>2.7E-2</v>
      </c>
      <c r="E7" s="40">
        <f t="shared" si="1"/>
        <v>405.02699999999999</v>
      </c>
      <c r="F7" s="40">
        <f t="shared" si="0"/>
        <v>505.02699999999999</v>
      </c>
      <c r="G7" s="40">
        <f t="shared" si="0"/>
        <v>600005.027</v>
      </c>
      <c r="H7" s="40">
        <f t="shared" si="0"/>
        <v>700005.027</v>
      </c>
      <c r="I7" s="40">
        <f t="shared" si="0"/>
        <v>800005.027</v>
      </c>
      <c r="J7" s="40">
        <f t="shared" si="0"/>
        <v>900005.027</v>
      </c>
      <c r="K7" s="40">
        <f t="shared" si="0"/>
        <v>1000005.027</v>
      </c>
    </row>
    <row r="8" spans="2:11">
      <c r="B8" s="41" t="s">
        <v>81</v>
      </c>
      <c r="C8" s="42">
        <v>5</v>
      </c>
      <c r="D8" s="44">
        <v>2.9499999999999998E-2</v>
      </c>
      <c r="E8" s="40">
        <f t="shared" si="1"/>
        <v>405.02949999999998</v>
      </c>
      <c r="F8" s="40">
        <f t="shared" si="0"/>
        <v>505.02949999999998</v>
      </c>
      <c r="G8" s="40">
        <f t="shared" si="0"/>
        <v>600005.02949999995</v>
      </c>
      <c r="H8" s="40">
        <f t="shared" si="0"/>
        <v>700005.02949999995</v>
      </c>
      <c r="I8" s="40">
        <f t="shared" si="0"/>
        <v>800005.02949999995</v>
      </c>
      <c r="J8" s="40">
        <f t="shared" si="0"/>
        <v>900005.02949999995</v>
      </c>
      <c r="K8" s="40">
        <f t="shared" si="0"/>
        <v>1000005.0294999999</v>
      </c>
    </row>
    <row r="9" spans="2:11">
      <c r="B9" s="41" t="s">
        <v>82</v>
      </c>
      <c r="C9" s="42">
        <v>0</v>
      </c>
      <c r="D9" s="44">
        <v>3.3000000000000002E-2</v>
      </c>
      <c r="E9" s="40">
        <f t="shared" si="1"/>
        <v>400.03300000000002</v>
      </c>
      <c r="F9" s="40">
        <f t="shared" si="0"/>
        <v>500.03300000000002</v>
      </c>
      <c r="G9" s="40">
        <f t="shared" si="0"/>
        <v>600000.03300000005</v>
      </c>
      <c r="H9" s="40">
        <f t="shared" si="0"/>
        <v>700000.03300000005</v>
      </c>
      <c r="I9" s="40">
        <f t="shared" si="0"/>
        <v>800000.03300000005</v>
      </c>
      <c r="J9" s="40">
        <f t="shared" si="0"/>
        <v>900000.03300000005</v>
      </c>
      <c r="K9" s="40">
        <f t="shared" si="0"/>
        <v>1000000.0330000001</v>
      </c>
    </row>
    <row r="10" spans="2:11">
      <c r="B10" s="41" t="s">
        <v>83</v>
      </c>
      <c r="C10" s="42">
        <v>0</v>
      </c>
      <c r="D10" s="44">
        <v>3.3000000000000002E-2</v>
      </c>
      <c r="E10" s="40">
        <f t="shared" si="1"/>
        <v>400.03300000000002</v>
      </c>
      <c r="F10" s="40">
        <f t="shared" si="0"/>
        <v>500.03300000000002</v>
      </c>
      <c r="G10" s="40">
        <f t="shared" si="0"/>
        <v>600000.03300000005</v>
      </c>
      <c r="H10" s="40">
        <f t="shared" si="0"/>
        <v>700000.03300000005</v>
      </c>
      <c r="I10" s="40">
        <f t="shared" si="0"/>
        <v>800000.03300000005</v>
      </c>
      <c r="J10" s="40">
        <f t="shared" si="0"/>
        <v>900000.03300000005</v>
      </c>
      <c r="K10" s="40">
        <f t="shared" si="0"/>
        <v>1000000.0330000001</v>
      </c>
    </row>
    <row r="11" spans="2:11">
      <c r="B11" s="41" t="s">
        <v>84</v>
      </c>
      <c r="C11" s="42">
        <v>1.4</v>
      </c>
      <c r="D11" s="44">
        <v>3.5000000000000003E-2</v>
      </c>
      <c r="E11" s="40">
        <f t="shared" si="1"/>
        <v>401.435</v>
      </c>
      <c r="F11" s="40">
        <f t="shared" si="0"/>
        <v>501.435</v>
      </c>
      <c r="G11" s="40">
        <f t="shared" si="0"/>
        <v>600001.43500000006</v>
      </c>
      <c r="H11" s="40">
        <f t="shared" si="0"/>
        <v>700001.43500000006</v>
      </c>
      <c r="I11" s="40">
        <f t="shared" si="0"/>
        <v>800001.43500000006</v>
      </c>
      <c r="J11" s="40">
        <f t="shared" si="0"/>
        <v>900001.43500000006</v>
      </c>
      <c r="K11" s="40">
        <f t="shared" si="0"/>
        <v>1000001.4350000001</v>
      </c>
    </row>
    <row r="12" spans="2:11">
      <c r="B12" s="41" t="s">
        <v>85</v>
      </c>
      <c r="C12" s="42">
        <v>0</v>
      </c>
      <c r="D12" s="44">
        <v>0.03</v>
      </c>
      <c r="E12" s="40">
        <f t="shared" si="1"/>
        <v>400.03</v>
      </c>
      <c r="F12" s="40">
        <f t="shared" si="0"/>
        <v>500.03</v>
      </c>
      <c r="G12" s="40">
        <f t="shared" si="0"/>
        <v>600000.03</v>
      </c>
      <c r="H12" s="40">
        <f t="shared" si="0"/>
        <v>700000.03</v>
      </c>
      <c r="I12" s="40">
        <f t="shared" si="0"/>
        <v>800000.03</v>
      </c>
      <c r="J12" s="40">
        <f t="shared" si="0"/>
        <v>900000.03</v>
      </c>
      <c r="K12" s="40">
        <f t="shared" si="0"/>
        <v>1000000.03</v>
      </c>
    </row>
    <row r="13" spans="2:11">
      <c r="B13" s="41" t="s">
        <v>86</v>
      </c>
      <c r="C13" s="42">
        <v>5</v>
      </c>
      <c r="D13" s="44">
        <v>2.5999999999999999E-2</v>
      </c>
      <c r="E13" s="40">
        <f t="shared" si="1"/>
        <v>405.02600000000001</v>
      </c>
      <c r="F13" s="40">
        <f t="shared" si="0"/>
        <v>505.02600000000001</v>
      </c>
      <c r="G13" s="40">
        <f t="shared" si="0"/>
        <v>600005.02599999995</v>
      </c>
      <c r="H13" s="40">
        <f t="shared" si="0"/>
        <v>700005.02599999995</v>
      </c>
      <c r="I13" s="40">
        <f t="shared" si="0"/>
        <v>800005.02599999995</v>
      </c>
      <c r="J13" s="40">
        <f t="shared" si="0"/>
        <v>900005.02599999995</v>
      </c>
      <c r="K13" s="40">
        <f t="shared" si="0"/>
        <v>1000005.026</v>
      </c>
    </row>
    <row r="14" spans="2:11">
      <c r="B14" s="41" t="s">
        <v>87</v>
      </c>
      <c r="C14" s="42">
        <v>2</v>
      </c>
      <c r="D14" s="44">
        <v>3.2000000000000001E-2</v>
      </c>
      <c r="E14" s="40">
        <f t="shared" si="1"/>
        <v>402.03199999999998</v>
      </c>
      <c r="F14" s="40">
        <f t="shared" si="0"/>
        <v>502.03199999999998</v>
      </c>
      <c r="G14" s="40">
        <f t="shared" si="0"/>
        <v>600002.03200000001</v>
      </c>
      <c r="H14" s="40">
        <f t="shared" si="0"/>
        <v>700002.03200000001</v>
      </c>
      <c r="I14" s="40">
        <f t="shared" si="0"/>
        <v>800002.03200000001</v>
      </c>
      <c r="J14" s="40">
        <f t="shared" si="0"/>
        <v>900002.03200000001</v>
      </c>
      <c r="K14" s="40">
        <f t="shared" si="0"/>
        <v>1000002.032</v>
      </c>
    </row>
    <row r="15" spans="2:11">
      <c r="B15" s="41" t="s">
        <v>88</v>
      </c>
      <c r="C15" s="42">
        <v>0</v>
      </c>
      <c r="D15" s="44">
        <v>3.2500000000000001E-2</v>
      </c>
      <c r="E15" s="40">
        <f t="shared" si="1"/>
        <v>400.03250000000003</v>
      </c>
      <c r="F15" s="40">
        <f t="shared" si="0"/>
        <v>500.03250000000003</v>
      </c>
      <c r="G15" s="40">
        <f t="shared" si="0"/>
        <v>600000.03249999997</v>
      </c>
      <c r="H15" s="40">
        <f t="shared" si="0"/>
        <v>700000.03249999997</v>
      </c>
      <c r="I15" s="40">
        <f t="shared" si="0"/>
        <v>800000.03249999997</v>
      </c>
      <c r="J15" s="40">
        <f t="shared" si="0"/>
        <v>900000.03249999997</v>
      </c>
      <c r="K15" s="40">
        <f t="shared" si="0"/>
        <v>1000000.0325</v>
      </c>
    </row>
    <row r="16" spans="2:11">
      <c r="B16" s="41" t="s">
        <v>89</v>
      </c>
      <c r="C16" s="42">
        <v>1.9</v>
      </c>
      <c r="D16" s="44">
        <v>3.3500000000000002E-2</v>
      </c>
      <c r="E16" s="40">
        <f t="shared" si="1"/>
        <v>401.93349999999998</v>
      </c>
      <c r="F16" s="40">
        <f t="shared" si="0"/>
        <v>501.93349999999998</v>
      </c>
      <c r="G16" s="40">
        <f t="shared" si="0"/>
        <v>600001.93350000004</v>
      </c>
      <c r="H16" s="40">
        <f t="shared" si="0"/>
        <v>700001.93350000004</v>
      </c>
      <c r="I16" s="40">
        <f t="shared" si="0"/>
        <v>800001.93350000004</v>
      </c>
      <c r="J16" s="40">
        <f t="shared" si="0"/>
        <v>900001.93350000004</v>
      </c>
      <c r="K16" s="40">
        <f t="shared" si="0"/>
        <v>1000001.9335</v>
      </c>
    </row>
    <row r="17" spans="2:11">
      <c r="B17" s="41" t="s">
        <v>90</v>
      </c>
      <c r="C17" s="42">
        <v>0</v>
      </c>
      <c r="D17" s="44">
        <v>3.2500000000000001E-2</v>
      </c>
      <c r="E17" s="40">
        <f t="shared" si="1"/>
        <v>400.03250000000003</v>
      </c>
      <c r="F17" s="40">
        <f t="shared" si="0"/>
        <v>500.03250000000003</v>
      </c>
      <c r="G17" s="40">
        <f t="shared" si="0"/>
        <v>600000.03249999997</v>
      </c>
      <c r="H17" s="40">
        <f t="shared" si="0"/>
        <v>700000.03249999997</v>
      </c>
      <c r="I17" s="40">
        <f t="shared" si="0"/>
        <v>800000.03249999997</v>
      </c>
      <c r="J17" s="40">
        <f t="shared" si="0"/>
        <v>900000.03249999997</v>
      </c>
      <c r="K17" s="40">
        <f t="shared" si="0"/>
        <v>1000000.0325</v>
      </c>
    </row>
    <row r="18" spans="2:11">
      <c r="B18" s="41" t="s">
        <v>91</v>
      </c>
      <c r="C18" s="42">
        <v>2.5</v>
      </c>
      <c r="D18" s="44">
        <v>3.2500000000000001E-2</v>
      </c>
      <c r="E18" s="40">
        <f t="shared" si="1"/>
        <v>402.53250000000003</v>
      </c>
      <c r="F18" s="40">
        <f t="shared" si="0"/>
        <v>502.53250000000003</v>
      </c>
      <c r="G18" s="40">
        <f t="shared" si="0"/>
        <v>600002.53249999997</v>
      </c>
      <c r="H18" s="40">
        <f t="shared" si="0"/>
        <v>700002.53249999997</v>
      </c>
      <c r="I18" s="40">
        <f t="shared" si="0"/>
        <v>800002.53249999997</v>
      </c>
      <c r="J18" s="40">
        <f t="shared" si="0"/>
        <v>900002.53249999997</v>
      </c>
      <c r="K18" s="40">
        <f t="shared" si="0"/>
        <v>1000002.5325</v>
      </c>
    </row>
    <row r="19" spans="2:11">
      <c r="B19" s="41" t="s">
        <v>92</v>
      </c>
      <c r="C19" s="42">
        <v>2.25</v>
      </c>
      <c r="D19" s="44">
        <v>3.4000000000000002E-2</v>
      </c>
      <c r="E19" s="40">
        <f t="shared" si="1"/>
        <v>402.28399999999999</v>
      </c>
      <c r="F19" s="40">
        <f t="shared" si="0"/>
        <v>502.28399999999999</v>
      </c>
      <c r="G19" s="40">
        <f t="shared" si="0"/>
        <v>600002.28399999999</v>
      </c>
      <c r="H19" s="40">
        <f t="shared" si="0"/>
        <v>700002.28399999999</v>
      </c>
      <c r="I19" s="40">
        <f t="shared" si="0"/>
        <v>800002.28399999999</v>
      </c>
      <c r="J19" s="40">
        <f t="shared" si="0"/>
        <v>900002.28399999999</v>
      </c>
      <c r="K19" s="40">
        <f t="shared" si="0"/>
        <v>1000002.284</v>
      </c>
    </row>
    <row r="20" spans="2:11">
      <c r="B20" s="41" t="s">
        <v>93</v>
      </c>
      <c r="C20" s="42">
        <v>1.95</v>
      </c>
      <c r="D20" s="44">
        <v>3.3000000000000002E-2</v>
      </c>
      <c r="E20" s="40">
        <f t="shared" si="1"/>
        <v>401.983</v>
      </c>
      <c r="F20" s="40">
        <f t="shared" si="0"/>
        <v>501.983</v>
      </c>
      <c r="G20" s="40">
        <f t="shared" si="0"/>
        <v>600001.98300000001</v>
      </c>
      <c r="H20" s="40">
        <f t="shared" si="0"/>
        <v>700001.98300000001</v>
      </c>
      <c r="I20" s="40">
        <f t="shared" si="0"/>
        <v>800001.98300000001</v>
      </c>
      <c r="J20" s="40">
        <f t="shared" si="0"/>
        <v>900001.98300000001</v>
      </c>
      <c r="K20" s="40">
        <f t="shared" si="0"/>
        <v>1000001.983</v>
      </c>
    </row>
    <row r="21" spans="2:11">
      <c r="B21" s="41" t="s">
        <v>94</v>
      </c>
      <c r="C21" s="42">
        <v>2</v>
      </c>
      <c r="D21" s="44">
        <v>3.3000000000000002E-2</v>
      </c>
      <c r="E21" s="40">
        <f t="shared" si="1"/>
        <v>402.03300000000002</v>
      </c>
      <c r="F21" s="40">
        <f t="shared" si="1"/>
        <v>502.03300000000002</v>
      </c>
      <c r="G21" s="40">
        <f t="shared" si="1"/>
        <v>600002.03300000005</v>
      </c>
      <c r="H21" s="40">
        <f t="shared" si="1"/>
        <v>700002.03300000005</v>
      </c>
      <c r="I21" s="40">
        <f t="shared" si="1"/>
        <v>800002.03300000005</v>
      </c>
      <c r="J21" s="40">
        <f t="shared" si="1"/>
        <v>900002.03300000005</v>
      </c>
      <c r="K21" s="40">
        <f t="shared" si="1"/>
        <v>1000002.0330000001</v>
      </c>
    </row>
    <row r="22" spans="2:11">
      <c r="B22" s="41" t="s">
        <v>95</v>
      </c>
      <c r="C22" s="42">
        <v>2</v>
      </c>
      <c r="D22" s="44">
        <v>3.3000000000000002E-2</v>
      </c>
      <c r="E22" s="40">
        <f t="shared" si="1"/>
        <v>402.03300000000002</v>
      </c>
      <c r="F22" s="40">
        <f t="shared" si="1"/>
        <v>502.03300000000002</v>
      </c>
      <c r="G22" s="40">
        <f t="shared" si="1"/>
        <v>600002.03300000005</v>
      </c>
      <c r="H22" s="40">
        <f t="shared" si="1"/>
        <v>700002.03300000005</v>
      </c>
      <c r="I22" s="40">
        <f t="shared" si="1"/>
        <v>800002.03300000005</v>
      </c>
      <c r="J22" s="40">
        <f t="shared" si="1"/>
        <v>900002.03300000005</v>
      </c>
      <c r="K22" s="40">
        <f t="shared" si="1"/>
        <v>1000002.0330000001</v>
      </c>
    </row>
    <row r="23" spans="2:11">
      <c r="B23" s="41" t="s">
        <v>96</v>
      </c>
      <c r="C23" s="42">
        <v>0</v>
      </c>
      <c r="D23" s="44">
        <v>3.5000000000000003E-2</v>
      </c>
      <c r="E23" s="40">
        <f t="shared" si="1"/>
        <v>400.03500000000003</v>
      </c>
      <c r="F23" s="40">
        <f t="shared" si="1"/>
        <v>500.03500000000003</v>
      </c>
      <c r="G23" s="40">
        <f t="shared" si="1"/>
        <v>600000.03500000003</v>
      </c>
      <c r="H23" s="40">
        <f t="shared" si="1"/>
        <v>700000.03500000003</v>
      </c>
      <c r="I23" s="40">
        <f t="shared" si="1"/>
        <v>800000.03500000003</v>
      </c>
      <c r="J23" s="40">
        <f t="shared" si="1"/>
        <v>900000.03500000003</v>
      </c>
      <c r="K23" s="40">
        <f t="shared" si="1"/>
        <v>1000000.035</v>
      </c>
    </row>
    <row r="24" spans="2:11">
      <c r="B24" s="41" t="s">
        <v>97</v>
      </c>
      <c r="C24" s="42">
        <v>0</v>
      </c>
      <c r="D24" s="44">
        <v>3.4000000000000002E-2</v>
      </c>
      <c r="E24" s="40">
        <f t="shared" si="1"/>
        <v>400.03399999999999</v>
      </c>
      <c r="F24" s="40">
        <f t="shared" si="1"/>
        <v>500.03399999999999</v>
      </c>
      <c r="G24" s="40">
        <f t="shared" si="1"/>
        <v>600000.03399999999</v>
      </c>
      <c r="H24" s="40">
        <f t="shared" si="1"/>
        <v>700000.03399999999</v>
      </c>
      <c r="I24" s="40">
        <f t="shared" si="1"/>
        <v>800000.03399999999</v>
      </c>
      <c r="J24" s="40">
        <f t="shared" si="1"/>
        <v>900000.03399999999</v>
      </c>
      <c r="K24" s="40">
        <f t="shared" si="1"/>
        <v>1000000.034</v>
      </c>
    </row>
    <row r="25" spans="2:11">
      <c r="B25" s="41" t="s">
        <v>98</v>
      </c>
      <c r="C25" s="42">
        <v>3</v>
      </c>
      <c r="D25" s="44">
        <v>3.4000000000000002E-2</v>
      </c>
      <c r="E25" s="40">
        <f t="shared" si="1"/>
        <v>403.03399999999999</v>
      </c>
      <c r="F25" s="40">
        <f t="shared" si="1"/>
        <v>503.03399999999999</v>
      </c>
      <c r="G25" s="40">
        <f t="shared" si="1"/>
        <v>600003.03399999999</v>
      </c>
      <c r="H25" s="40">
        <f t="shared" si="1"/>
        <v>700003.03399999999</v>
      </c>
      <c r="I25" s="40">
        <f t="shared" si="1"/>
        <v>800003.03399999999</v>
      </c>
      <c r="J25" s="40">
        <f t="shared" si="1"/>
        <v>900003.03399999999</v>
      </c>
      <c r="K25" s="40">
        <f t="shared" si="1"/>
        <v>1000003.034</v>
      </c>
    </row>
    <row r="26" spans="2:11" ht="15.75" thickBot="1">
      <c r="B26" s="41" t="s">
        <v>99</v>
      </c>
      <c r="C26" s="45">
        <v>2.5</v>
      </c>
      <c r="D26" s="46">
        <v>3.1E-2</v>
      </c>
      <c r="E26" s="40">
        <f t="shared" si="1"/>
        <v>402.53100000000001</v>
      </c>
      <c r="F26" s="40">
        <f t="shared" si="1"/>
        <v>502.53100000000001</v>
      </c>
      <c r="G26" s="40">
        <f t="shared" si="1"/>
        <v>600002.53099999996</v>
      </c>
      <c r="H26" s="40">
        <f t="shared" si="1"/>
        <v>700002.53099999996</v>
      </c>
      <c r="I26" s="40">
        <f t="shared" si="1"/>
        <v>800002.53099999996</v>
      </c>
      <c r="J26" s="40">
        <f t="shared" si="1"/>
        <v>900002.53099999996</v>
      </c>
      <c r="K26" s="40">
        <f t="shared" si="1"/>
        <v>1000002.531</v>
      </c>
    </row>
    <row r="27" spans="2:11" ht="15.75" thickBot="1">
      <c r="B27" s="47" t="s">
        <v>100</v>
      </c>
      <c r="C27" s="111">
        <f>AVERAGE(C5:C26)</f>
        <v>1.8181818181818181</v>
      </c>
      <c r="D27" s="48">
        <f>AVERAGE(D5:D26)</f>
        <v>3.2181818181818193E-2</v>
      </c>
      <c r="E27" s="49">
        <f>AVERAGE(E5:E26)</f>
        <v>401.85036363636374</v>
      </c>
      <c r="F27" s="49">
        <f t="shared" ref="F27:K27" si="2">AVERAGE(F5:F26)</f>
        <v>501.85036363636368</v>
      </c>
      <c r="G27" s="49">
        <f t="shared" si="2"/>
        <v>600001.85036363627</v>
      </c>
      <c r="H27" s="49">
        <f t="shared" si="2"/>
        <v>700001.85036363639</v>
      </c>
      <c r="I27" s="49">
        <f t="shared" si="2"/>
        <v>800001.85036363639</v>
      </c>
      <c r="J27" s="49">
        <f t="shared" si="2"/>
        <v>900001.85036363639</v>
      </c>
      <c r="K27" s="49">
        <f t="shared" si="2"/>
        <v>1000001.8503636364</v>
      </c>
    </row>
    <row r="30" spans="2:11">
      <c r="B30" t="s">
        <v>101</v>
      </c>
    </row>
    <row r="31" spans="2:11">
      <c r="B31" t="s">
        <v>102</v>
      </c>
    </row>
    <row r="32" spans="2:11">
      <c r="B32" t="s">
        <v>103</v>
      </c>
    </row>
  </sheetData>
  <mergeCells count="1">
    <mergeCell ref="E3:K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5"/>
  <sheetViews>
    <sheetView topLeftCell="A13" zoomScale="115" zoomScaleNormal="115" workbookViewId="0">
      <selection activeCell="B24" sqref="B24"/>
    </sheetView>
  </sheetViews>
  <sheetFormatPr baseColWidth="10" defaultRowHeight="15"/>
  <sheetData>
    <row r="1" spans="1:8" ht="15.75">
      <c r="A1" s="100" t="s">
        <v>104</v>
      </c>
      <c r="B1" s="100"/>
      <c r="C1" s="100"/>
      <c r="D1" s="100"/>
      <c r="E1" s="100"/>
      <c r="F1" s="50"/>
      <c r="G1" s="50"/>
      <c r="H1" s="50"/>
    </row>
    <row r="2" spans="1:8" ht="15.75">
      <c r="A2" s="101" t="s">
        <v>105</v>
      </c>
      <c r="B2" s="102"/>
      <c r="C2" s="51"/>
      <c r="D2" s="103" t="s">
        <v>106</v>
      </c>
      <c r="E2" s="104"/>
      <c r="F2" s="51"/>
      <c r="G2" s="52"/>
      <c r="H2" s="52"/>
    </row>
    <row r="3" spans="1:8" ht="15.75">
      <c r="A3" s="53" t="s">
        <v>107</v>
      </c>
      <c r="B3" s="54">
        <v>0.08</v>
      </c>
      <c r="C3" s="55"/>
      <c r="D3" s="53" t="s">
        <v>108</v>
      </c>
      <c r="E3" s="54">
        <v>7.0000000000000007E-2</v>
      </c>
      <c r="F3" s="55"/>
      <c r="G3" s="56"/>
      <c r="H3" s="57"/>
    </row>
    <row r="4" spans="1:8">
      <c r="A4" s="58" t="s">
        <v>109</v>
      </c>
      <c r="B4" s="59">
        <v>21</v>
      </c>
      <c r="C4" s="60"/>
      <c r="D4" s="58" t="s">
        <v>110</v>
      </c>
      <c r="E4" s="59">
        <v>14</v>
      </c>
      <c r="F4" s="60"/>
      <c r="G4" s="61"/>
      <c r="H4" s="62"/>
    </row>
    <row r="5" spans="1:8">
      <c r="A5" s="58" t="s">
        <v>111</v>
      </c>
      <c r="B5" s="63">
        <v>0.05</v>
      </c>
      <c r="C5" s="60"/>
      <c r="D5" s="58" t="s">
        <v>112</v>
      </c>
      <c r="E5" s="63">
        <v>7.0000000000000007E-2</v>
      </c>
      <c r="F5" s="60"/>
      <c r="G5" s="61"/>
      <c r="H5" s="61"/>
    </row>
    <row r="6" spans="1:8">
      <c r="A6" s="51"/>
      <c r="B6" s="51"/>
      <c r="C6" s="51"/>
      <c r="D6" s="51"/>
      <c r="E6" s="51"/>
      <c r="F6" s="51"/>
      <c r="G6" s="51"/>
      <c r="H6" s="51"/>
    </row>
    <row r="7" spans="1:8">
      <c r="A7" s="51"/>
      <c r="B7" s="51"/>
      <c r="C7" s="51"/>
      <c r="D7" s="51"/>
      <c r="E7" s="51"/>
      <c r="F7" s="51"/>
      <c r="G7" s="51"/>
      <c r="H7" s="51"/>
    </row>
    <row r="8" spans="1:8" ht="15.75" thickBot="1">
      <c r="A8" s="51"/>
      <c r="B8" s="51"/>
      <c r="C8" s="51"/>
      <c r="D8" s="51"/>
      <c r="E8" s="51"/>
      <c r="F8" s="51"/>
      <c r="G8" s="51"/>
      <c r="H8" s="51"/>
    </row>
    <row r="9" spans="1:8" ht="16.5" thickBot="1">
      <c r="A9" s="51"/>
      <c r="B9" s="64" t="s">
        <v>113</v>
      </c>
      <c r="C9" s="65" t="s">
        <v>114</v>
      </c>
      <c r="D9" s="65" t="s">
        <v>115</v>
      </c>
      <c r="E9" s="65" t="s">
        <v>116</v>
      </c>
      <c r="F9" s="65" t="s">
        <v>117</v>
      </c>
      <c r="G9" s="65" t="s">
        <v>118</v>
      </c>
      <c r="H9" s="66" t="s">
        <v>119</v>
      </c>
    </row>
    <row r="10" spans="1:8" ht="15.75">
      <c r="A10" s="55" t="s">
        <v>120</v>
      </c>
      <c r="B10" s="51"/>
      <c r="C10" s="51"/>
      <c r="D10" s="51"/>
      <c r="E10" s="51"/>
      <c r="F10" s="51"/>
      <c r="G10" s="51"/>
      <c r="H10" s="51"/>
    </row>
    <row r="11" spans="1:8">
      <c r="A11" s="67" t="s">
        <v>121</v>
      </c>
      <c r="B11" s="68">
        <v>500</v>
      </c>
      <c r="C11" s="69">
        <f>B11+(B11*$B$3)</f>
        <v>540</v>
      </c>
      <c r="D11" s="69">
        <f t="shared" ref="D11:G11" si="0">C11+(C11*$B$3)</f>
        <v>583.20000000000005</v>
      </c>
      <c r="E11" s="69">
        <f t="shared" si="0"/>
        <v>629.85599999999999</v>
      </c>
      <c r="F11" s="69">
        <f t="shared" si="0"/>
        <v>680.24447999999995</v>
      </c>
      <c r="G11" s="69">
        <f t="shared" si="0"/>
        <v>734.66403839999998</v>
      </c>
      <c r="H11" s="69">
        <f>SUM(B11:G11)</f>
        <v>3667.9645184000001</v>
      </c>
    </row>
    <row r="12" spans="1:8">
      <c r="A12" s="67" t="s">
        <v>122</v>
      </c>
      <c r="B12" s="70">
        <f>$B4*B$11</f>
        <v>10500</v>
      </c>
      <c r="C12" s="70">
        <f>$B4*C$11</f>
        <v>11340</v>
      </c>
      <c r="D12" s="70">
        <f>$B4*D$11</f>
        <v>12247.2</v>
      </c>
      <c r="E12" s="70">
        <f>$B4*E$11</f>
        <v>13226.976000000001</v>
      </c>
      <c r="F12" s="70">
        <f t="shared" ref="C12:H12" si="1">$B4*F$11</f>
        <v>14285.13408</v>
      </c>
      <c r="G12" s="70">
        <f t="shared" si="1"/>
        <v>15427.944806399999</v>
      </c>
      <c r="H12" s="70">
        <f t="shared" si="1"/>
        <v>77027.254886399998</v>
      </c>
    </row>
    <row r="13" spans="1:8">
      <c r="A13" s="67" t="s">
        <v>52</v>
      </c>
      <c r="B13" s="70">
        <f>B$12*$B5</f>
        <v>525</v>
      </c>
      <c r="C13" s="70">
        <f t="shared" ref="C13:H13" si="2">C$12*$B5</f>
        <v>567</v>
      </c>
      <c r="D13" s="70">
        <f>D$12*$B5</f>
        <v>612.36</v>
      </c>
      <c r="E13" s="70">
        <f>E$12*$B5</f>
        <v>661.3488000000001</v>
      </c>
      <c r="F13" s="70">
        <f t="shared" si="2"/>
        <v>714.25670400000001</v>
      </c>
      <c r="G13" s="70">
        <f t="shared" si="2"/>
        <v>771.39724032000004</v>
      </c>
      <c r="H13" s="70">
        <f t="shared" si="2"/>
        <v>3851.3627443200003</v>
      </c>
    </row>
    <row r="14" spans="1:8">
      <c r="A14" s="67" t="s">
        <v>123</v>
      </c>
      <c r="B14" s="70">
        <f>B12-B13</f>
        <v>9975</v>
      </c>
      <c r="C14" s="70">
        <f t="shared" ref="C14:H14" si="3">C12-C13</f>
        <v>10773</v>
      </c>
      <c r="D14" s="70">
        <f t="shared" si="3"/>
        <v>11634.84</v>
      </c>
      <c r="E14" s="70">
        <f t="shared" si="3"/>
        <v>12565.627200000001</v>
      </c>
      <c r="F14" s="70">
        <f t="shared" si="3"/>
        <v>13570.877376</v>
      </c>
      <c r="G14" s="70">
        <f t="shared" si="3"/>
        <v>14656.547566079998</v>
      </c>
      <c r="H14" s="70">
        <f t="shared" si="3"/>
        <v>73175.892142080003</v>
      </c>
    </row>
    <row r="15" spans="1:8">
      <c r="A15" s="51"/>
      <c r="B15" s="60"/>
      <c r="C15" s="60"/>
      <c r="D15" s="60"/>
      <c r="E15" s="60"/>
      <c r="F15" s="60"/>
      <c r="G15" s="60"/>
      <c r="H15" s="71"/>
    </row>
    <row r="16" spans="1:8" ht="15.75">
      <c r="A16" s="72" t="s">
        <v>124</v>
      </c>
      <c r="B16" s="60"/>
      <c r="C16" s="60"/>
      <c r="D16" s="60"/>
      <c r="E16" s="60"/>
      <c r="F16" s="60"/>
      <c r="G16" s="60"/>
      <c r="H16" s="71"/>
    </row>
    <row r="17" spans="1:8">
      <c r="A17" s="73" t="s">
        <v>125</v>
      </c>
      <c r="B17" s="68">
        <v>350</v>
      </c>
      <c r="C17" s="69">
        <f>B17+(B17*$E$3)</f>
        <v>374.5</v>
      </c>
      <c r="D17" s="69">
        <f t="shared" ref="D17:G17" si="4">C17+(C17*$E$3)</f>
        <v>400.71500000000003</v>
      </c>
      <c r="E17" s="69">
        <f t="shared" si="4"/>
        <v>428.76505000000003</v>
      </c>
      <c r="F17" s="69">
        <f t="shared" si="4"/>
        <v>458.77860350000003</v>
      </c>
      <c r="G17" s="69">
        <f t="shared" si="4"/>
        <v>490.89310574500001</v>
      </c>
      <c r="H17" s="70">
        <f t="shared" ref="H17" si="5">SUM(B17:G17)</f>
        <v>2503.651759245</v>
      </c>
    </row>
    <row r="18" spans="1:8">
      <c r="A18" s="73" t="s">
        <v>126</v>
      </c>
      <c r="B18" s="70">
        <f>$E4*B$17</f>
        <v>4900</v>
      </c>
      <c r="C18" s="70">
        <f t="shared" ref="C18:H18" si="6">$E4*C$17</f>
        <v>5243</v>
      </c>
      <c r="D18" s="70">
        <f t="shared" si="6"/>
        <v>5610.01</v>
      </c>
      <c r="E18" s="70">
        <f t="shared" si="6"/>
        <v>6002.7107000000005</v>
      </c>
      <c r="F18" s="70">
        <f t="shared" si="6"/>
        <v>6422.9004490000007</v>
      </c>
      <c r="G18" s="70">
        <f t="shared" si="6"/>
        <v>6872.5034804300003</v>
      </c>
      <c r="H18" s="70">
        <f t="shared" si="6"/>
        <v>35051.12462943</v>
      </c>
    </row>
    <row r="19" spans="1:8">
      <c r="A19" s="73" t="s">
        <v>52</v>
      </c>
      <c r="B19" s="70">
        <f>B$18*$E5</f>
        <v>343.00000000000006</v>
      </c>
      <c r="C19" s="70">
        <f t="shared" ref="C19:H19" si="7">C$18*$E5</f>
        <v>367.01000000000005</v>
      </c>
      <c r="D19" s="70">
        <f t="shared" si="7"/>
        <v>392.70070000000004</v>
      </c>
      <c r="E19" s="70">
        <f t="shared" si="7"/>
        <v>420.18974900000006</v>
      </c>
      <c r="F19" s="70">
        <f t="shared" si="7"/>
        <v>449.6030314300001</v>
      </c>
      <c r="G19" s="70">
        <f t="shared" si="7"/>
        <v>481.07524363010009</v>
      </c>
      <c r="H19" s="70">
        <f t="shared" si="7"/>
        <v>2453.5787240601003</v>
      </c>
    </row>
    <row r="20" spans="1:8">
      <c r="A20" s="67" t="s">
        <v>127</v>
      </c>
      <c r="B20" s="70">
        <f>B18-B19</f>
        <v>4557</v>
      </c>
      <c r="C20" s="70">
        <f t="shared" ref="C20:H20" si="8">C18-C19</f>
        <v>4875.99</v>
      </c>
      <c r="D20" s="70">
        <f t="shared" si="8"/>
        <v>5217.3092999999999</v>
      </c>
      <c r="E20" s="70">
        <f t="shared" si="8"/>
        <v>5582.5209510000004</v>
      </c>
      <c r="F20" s="70">
        <f t="shared" si="8"/>
        <v>5973.2974175700001</v>
      </c>
      <c r="G20" s="70">
        <f t="shared" si="8"/>
        <v>6391.4282367999003</v>
      </c>
      <c r="H20" s="70">
        <f t="shared" si="8"/>
        <v>32597.545905369901</v>
      </c>
    </row>
    <row r="21" spans="1:8">
      <c r="A21" s="51"/>
      <c r="B21" s="60"/>
      <c r="C21" s="60"/>
      <c r="D21" s="60"/>
      <c r="E21" s="60"/>
      <c r="F21" s="60"/>
      <c r="G21" s="60"/>
    </row>
    <row r="22" spans="1:8" ht="15.75">
      <c r="A22" s="55" t="s">
        <v>128</v>
      </c>
      <c r="B22" s="51"/>
      <c r="C22" s="51"/>
      <c r="D22" s="51"/>
      <c r="E22" s="51"/>
      <c r="F22" s="51"/>
      <c r="G22" s="51"/>
    </row>
    <row r="23" spans="1:8">
      <c r="A23" s="67" t="s">
        <v>129</v>
      </c>
      <c r="B23" s="74"/>
      <c r="C23" s="74"/>
      <c r="D23" s="74"/>
      <c r="E23" s="74"/>
      <c r="F23" s="74"/>
      <c r="G23" s="74"/>
      <c r="H23" s="74"/>
    </row>
    <row r="24" spans="1:8">
      <c r="A24" s="67" t="s">
        <v>130</v>
      </c>
      <c r="B24" s="74"/>
      <c r="C24" s="74"/>
      <c r="D24" s="74"/>
      <c r="E24" s="74"/>
      <c r="F24" s="74"/>
      <c r="G24" s="74"/>
      <c r="H24" s="74"/>
    </row>
    <row r="25" spans="1:8">
      <c r="A25" s="67" t="s">
        <v>131</v>
      </c>
      <c r="B25" s="74"/>
      <c r="C25" s="74"/>
      <c r="D25" s="74"/>
      <c r="E25" s="74"/>
      <c r="F25" s="74"/>
      <c r="G25" s="74"/>
      <c r="H25" s="74"/>
    </row>
  </sheetData>
  <mergeCells count="3">
    <mergeCell ref="A1:E1"/>
    <mergeCell ref="A2:B2"/>
    <mergeCell ref="D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3"/>
  <sheetViews>
    <sheetView workbookViewId="0">
      <selection activeCell="L12" sqref="L12"/>
    </sheetView>
  </sheetViews>
  <sheetFormatPr baseColWidth="10" defaultRowHeight="15"/>
  <sheetData>
    <row r="1" spans="2:12" ht="22.5">
      <c r="B1" s="105" t="s">
        <v>132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3" spans="2:12">
      <c r="B3" s="75" t="s">
        <v>133</v>
      </c>
      <c r="C3" s="76">
        <v>0.4</v>
      </c>
      <c r="D3" s="76">
        <f>1-C3</f>
        <v>0.6</v>
      </c>
      <c r="E3" s="76"/>
      <c r="F3" s="76">
        <v>0.45</v>
      </c>
      <c r="G3" s="76">
        <f>1-F3</f>
        <v>0.55000000000000004</v>
      </c>
      <c r="H3" s="76"/>
      <c r="I3" s="76">
        <v>0.1</v>
      </c>
      <c r="J3" s="76">
        <f>1-I3</f>
        <v>0.9</v>
      </c>
    </row>
    <row r="4" spans="2:12" ht="15.75" thickBot="1"/>
    <row r="5" spans="2:12" ht="16.5" thickBot="1">
      <c r="C5" s="106" t="s">
        <v>134</v>
      </c>
      <c r="D5" s="107"/>
      <c r="E5" s="108"/>
      <c r="F5" s="106" t="s">
        <v>135</v>
      </c>
      <c r="G5" s="107"/>
      <c r="H5" s="108"/>
      <c r="I5" s="106" t="s">
        <v>136</v>
      </c>
      <c r="J5" s="107"/>
      <c r="K5" s="108"/>
    </row>
    <row r="6" spans="2:12" ht="18.75">
      <c r="B6" s="77" t="s">
        <v>137</v>
      </c>
      <c r="C6" s="78" t="s">
        <v>138</v>
      </c>
      <c r="D6" s="79" t="s">
        <v>139</v>
      </c>
      <c r="E6" s="80" t="s">
        <v>140</v>
      </c>
      <c r="F6" s="78" t="s">
        <v>138</v>
      </c>
      <c r="G6" s="79" t="s">
        <v>139</v>
      </c>
      <c r="H6" s="80" t="s">
        <v>140</v>
      </c>
      <c r="I6" s="78" t="s">
        <v>138</v>
      </c>
      <c r="J6" s="79" t="s">
        <v>139</v>
      </c>
      <c r="K6" s="80" t="s">
        <v>140</v>
      </c>
      <c r="L6" s="81" t="s">
        <v>140</v>
      </c>
    </row>
    <row r="7" spans="2:12" ht="18.75">
      <c r="B7" s="82" t="s">
        <v>141</v>
      </c>
      <c r="C7" s="83">
        <v>5</v>
      </c>
      <c r="D7" s="84">
        <v>8</v>
      </c>
      <c r="E7" s="109">
        <f>(($C7*C$3)+($D7*D$3))/100%</f>
        <v>6.8</v>
      </c>
      <c r="F7" s="83">
        <v>5</v>
      </c>
      <c r="G7" s="84">
        <v>6</v>
      </c>
      <c r="H7" s="109">
        <f>(($F7*F$3)+($G7*G$3))/100%</f>
        <v>5.5500000000000007</v>
      </c>
      <c r="I7" s="83">
        <v>5</v>
      </c>
      <c r="J7" s="84">
        <v>7</v>
      </c>
      <c r="K7" s="109">
        <f>(($I7*I$3)+($J7*J$3))/100%</f>
        <v>6.8</v>
      </c>
      <c r="L7" s="110">
        <f>SUM(K7,H7,E7)/3</f>
        <v>6.3833333333333337</v>
      </c>
    </row>
    <row r="8" spans="2:12" ht="18.75">
      <c r="B8" s="82" t="s">
        <v>142</v>
      </c>
      <c r="C8" s="83">
        <v>5</v>
      </c>
      <c r="D8" s="84">
        <v>6</v>
      </c>
      <c r="E8" s="109">
        <f t="shared" ref="E8:E13" si="0">(($C8*C$3)+($D8*D$3))/100%</f>
        <v>5.6</v>
      </c>
      <c r="F8" s="83">
        <v>4</v>
      </c>
      <c r="G8" s="84">
        <v>9</v>
      </c>
      <c r="H8" s="109">
        <f t="shared" ref="H8:H13" si="1">(($F8*F$3)+($G8*G$3))/100%</f>
        <v>6.75</v>
      </c>
      <c r="I8" s="83">
        <v>7</v>
      </c>
      <c r="J8" s="84">
        <v>4</v>
      </c>
      <c r="K8" s="109">
        <f t="shared" ref="K8:K13" si="2">(($I8*I$3)+($J8*J$3))/100%</f>
        <v>4.3</v>
      </c>
      <c r="L8" s="110">
        <f t="shared" ref="L8:L13" si="3">SUM(K8,H8,E8)/3</f>
        <v>5.55</v>
      </c>
    </row>
    <row r="9" spans="2:12" ht="18.75">
      <c r="B9" s="82" t="s">
        <v>143</v>
      </c>
      <c r="C9" s="83">
        <v>1</v>
      </c>
      <c r="D9" s="84">
        <v>1</v>
      </c>
      <c r="E9" s="109">
        <f t="shared" si="0"/>
        <v>1</v>
      </c>
      <c r="F9" s="83">
        <v>1</v>
      </c>
      <c r="G9" s="84">
        <v>1</v>
      </c>
      <c r="H9" s="109">
        <f t="shared" si="1"/>
        <v>1</v>
      </c>
      <c r="I9" s="83">
        <v>1</v>
      </c>
      <c r="J9" s="84">
        <v>1</v>
      </c>
      <c r="K9" s="109">
        <f t="shared" si="2"/>
        <v>1</v>
      </c>
      <c r="L9" s="110">
        <f t="shared" si="3"/>
        <v>1</v>
      </c>
    </row>
    <row r="10" spans="2:12" ht="18.75">
      <c r="B10" s="82" t="s">
        <v>144</v>
      </c>
      <c r="C10" s="83">
        <v>10</v>
      </c>
      <c r="D10" s="84">
        <v>10</v>
      </c>
      <c r="E10" s="109">
        <f t="shared" si="0"/>
        <v>10</v>
      </c>
      <c r="F10" s="83">
        <v>7</v>
      </c>
      <c r="G10" s="84">
        <v>0</v>
      </c>
      <c r="H10" s="109">
        <f t="shared" si="1"/>
        <v>3.15</v>
      </c>
      <c r="I10" s="83">
        <v>1</v>
      </c>
      <c r="J10" s="84">
        <v>4</v>
      </c>
      <c r="K10" s="109">
        <f t="shared" si="2"/>
        <v>3.7</v>
      </c>
      <c r="L10" s="110">
        <f t="shared" si="3"/>
        <v>5.6166666666666671</v>
      </c>
    </row>
    <row r="11" spans="2:12" ht="18.75">
      <c r="B11" s="82" t="s">
        <v>145</v>
      </c>
      <c r="C11" s="83">
        <v>0</v>
      </c>
      <c r="D11" s="84">
        <v>0</v>
      </c>
      <c r="E11" s="109">
        <f t="shared" si="0"/>
        <v>0</v>
      </c>
      <c r="F11" s="83">
        <v>0</v>
      </c>
      <c r="G11" s="84">
        <v>0</v>
      </c>
      <c r="H11" s="109">
        <f t="shared" si="1"/>
        <v>0</v>
      </c>
      <c r="I11" s="83">
        <v>0</v>
      </c>
      <c r="J11" s="84">
        <v>0</v>
      </c>
      <c r="K11" s="109">
        <f t="shared" si="2"/>
        <v>0</v>
      </c>
      <c r="L11" s="110">
        <f t="shared" si="3"/>
        <v>0</v>
      </c>
    </row>
    <row r="12" spans="2:12" ht="18.75">
      <c r="B12" s="82" t="s">
        <v>146</v>
      </c>
      <c r="C12" s="83">
        <v>2</v>
      </c>
      <c r="D12" s="84">
        <v>3</v>
      </c>
      <c r="E12" s="109">
        <f t="shared" si="0"/>
        <v>2.5999999999999996</v>
      </c>
      <c r="F12" s="83">
        <v>4</v>
      </c>
      <c r="G12" s="84">
        <v>3</v>
      </c>
      <c r="H12" s="109">
        <f t="shared" si="1"/>
        <v>3.45</v>
      </c>
      <c r="I12" s="83">
        <v>5</v>
      </c>
      <c r="J12" s="84">
        <v>1</v>
      </c>
      <c r="K12" s="109">
        <f t="shared" si="2"/>
        <v>1.4</v>
      </c>
      <c r="L12" s="110">
        <f t="shared" si="3"/>
        <v>2.4833333333333329</v>
      </c>
    </row>
    <row r="13" spans="2:12" ht="19.5" thickBot="1">
      <c r="B13" s="82" t="s">
        <v>147</v>
      </c>
      <c r="C13" s="85">
        <v>10</v>
      </c>
      <c r="D13" s="86">
        <v>10</v>
      </c>
      <c r="E13" s="109">
        <f t="shared" si="0"/>
        <v>10</v>
      </c>
      <c r="F13" s="85">
        <v>10</v>
      </c>
      <c r="G13" s="86">
        <v>10</v>
      </c>
      <c r="H13" s="109">
        <f t="shared" si="1"/>
        <v>10</v>
      </c>
      <c r="I13" s="85">
        <v>10</v>
      </c>
      <c r="J13" s="86">
        <v>9</v>
      </c>
      <c r="K13" s="109">
        <f t="shared" si="2"/>
        <v>9.1</v>
      </c>
      <c r="L13" s="110">
        <f t="shared" si="3"/>
        <v>9.7000000000000011</v>
      </c>
    </row>
  </sheetData>
  <mergeCells count="4">
    <mergeCell ref="B1:L1"/>
    <mergeCell ref="C5:E5"/>
    <mergeCell ref="F5:H5"/>
    <mergeCell ref="I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Sitio</dc:creator>
  <cp:lastModifiedBy>Leery Halfling</cp:lastModifiedBy>
  <dcterms:created xsi:type="dcterms:W3CDTF">2016-05-05T21:27:27Z</dcterms:created>
  <dcterms:modified xsi:type="dcterms:W3CDTF">2024-05-24T04:31:24Z</dcterms:modified>
</cp:coreProperties>
</file>